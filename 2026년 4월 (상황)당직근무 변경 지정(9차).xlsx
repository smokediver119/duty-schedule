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박홍석\4.당직근무지정\2026년\4월\"/>
    </mc:Choice>
  </mc:AlternateContent>
  <xr:revisionPtr revIDLastSave="0" documentId="13_ncr:1_{65665171-80DD-4422-B2C2-C458A7FFDB58}" xr6:coauthVersionLast="47" xr6:coauthVersionMax="47" xr10:uidLastSave="{00000000-0000-0000-0000-000000000000}"/>
  <bookViews>
    <workbookView showHorizontalScroll="0" showVerticalScroll="0" xWindow="0" yWindow="1560" windowWidth="29010" windowHeight="12780" xr2:uid="{00000000-000D-0000-FFFF-FFFF00000000}"/>
  </bookViews>
  <sheets>
    <sheet name="당직상황근무 지정 현황" sheetId="4" r:id="rId1"/>
    <sheet name="근무자 데이터" sheetId="7" r:id="rId2"/>
  </sheets>
  <definedNames>
    <definedName name="_xlnm._FilterDatabase" localSheetId="0" hidden="1">'당직상황근무 지정 현황'!$B$7:$K$23</definedName>
    <definedName name="_xlnm.Print_Area" localSheetId="0">'당직상황근무 지정 현황'!$B$2:$K$45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4" l="1"/>
  <c r="G29" i="4"/>
  <c r="I29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I8" i="4"/>
  <c r="G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8" i="4"/>
</calcChain>
</file>

<file path=xl/sharedStrings.xml><?xml version="1.0" encoding="utf-8"?>
<sst xmlns="http://schemas.openxmlformats.org/spreadsheetml/2006/main" count="362" uniqueCount="152">
  <si>
    <t>요일</t>
  </si>
  <si>
    <t>계급</t>
  </si>
  <si>
    <t>성명</t>
  </si>
  <si>
    <t>소방경</t>
  </si>
  <si>
    <t>소방위</t>
  </si>
  <si>
    <t>소방사</t>
    <phoneticPr fontId="10" type="noConversion"/>
  </si>
  <si>
    <t>(상황)당직 책임관</t>
    <phoneticPr fontId="10" type="noConversion"/>
  </si>
  <si>
    <t>(상황)당직 근무자</t>
    <phoneticPr fontId="10" type="noConversion"/>
  </si>
  <si>
    <t>구분</t>
    <phoneticPr fontId="10" type="noConversion"/>
  </si>
  <si>
    <t>정민정</t>
  </si>
  <si>
    <t>이민철</t>
  </si>
  <si>
    <t>소방장</t>
  </si>
  <si>
    <t>신상익</t>
  </si>
  <si>
    <t>소방교</t>
  </si>
  <si>
    <t>전기옥</t>
  </si>
  <si>
    <t>정문규</t>
  </si>
  <si>
    <t>남궁명</t>
  </si>
  <si>
    <t>최중덕</t>
  </si>
  <si>
    <t>김상우</t>
  </si>
  <si>
    <t>유근성</t>
  </si>
  <si>
    <t>허준희</t>
  </si>
  <si>
    <t>비고</t>
    <phoneticPr fontId="10" type="noConversion"/>
  </si>
  <si>
    <t>김수옥</t>
  </si>
  <si>
    <t>김용훈</t>
  </si>
  <si>
    <t>권수진</t>
  </si>
  <si>
    <t>장경재</t>
  </si>
  <si>
    <t>서승찬</t>
  </si>
  <si>
    <t>박병철</t>
  </si>
  <si>
    <t>일  자</t>
    <phoneticPr fontId="10" type="noConversion"/>
  </si>
  <si>
    <t>행정과</t>
    <phoneticPr fontId="12" type="noConversion"/>
  </si>
  <si>
    <t>이지형</t>
  </si>
  <si>
    <t>유영우</t>
  </si>
  <si>
    <t>김동순</t>
  </si>
  <si>
    <t>김경태</t>
  </si>
  <si>
    <t>문준기</t>
  </si>
  <si>
    <t>우영미</t>
  </si>
  <si>
    <t>윤지연</t>
  </si>
  <si>
    <t>최원길</t>
  </si>
  <si>
    <t>박홍석</t>
  </si>
  <si>
    <t>소방사</t>
  </si>
  <si>
    <t>김예리</t>
  </si>
  <si>
    <t>토</t>
    <phoneticPr fontId="10" type="noConversion"/>
  </si>
  <si>
    <t>일직</t>
    <phoneticPr fontId="10" type="noConversion"/>
  </si>
  <si>
    <t>김용열</t>
    <phoneticPr fontId="10" type="noConversion"/>
  </si>
  <si>
    <t>조누리</t>
    <phoneticPr fontId="10" type="noConversion"/>
  </si>
  <si>
    <t>재난과</t>
  </si>
  <si>
    <t>예방과</t>
  </si>
  <si>
    <t>유은귀</t>
  </si>
  <si>
    <t>이상범</t>
  </si>
  <si>
    <t>행정과</t>
  </si>
  <si>
    <t>서명원</t>
  </si>
  <si>
    <t>박종범</t>
  </si>
  <si>
    <t>김기범</t>
  </si>
  <si>
    <t>배덕은</t>
  </si>
  <si>
    <t>정병천</t>
  </si>
  <si>
    <t>김규태</t>
  </si>
  <si>
    <t>김용직</t>
  </si>
  <si>
    <t>홍경동</t>
  </si>
  <si>
    <t>조누리</t>
  </si>
  <si>
    <t>심지우</t>
  </si>
  <si>
    <t>백승범</t>
  </si>
  <si>
    <t>양정태</t>
  </si>
  <si>
    <t>대응단</t>
  </si>
  <si>
    <t>성명</t>
    <phoneticPr fontId="10" type="noConversion"/>
  </si>
  <si>
    <t>부서</t>
    <phoneticPr fontId="10" type="noConversion"/>
  </si>
  <si>
    <t>직급</t>
    <phoneticPr fontId="10" type="noConversion"/>
  </si>
  <si>
    <t>월</t>
  </si>
  <si>
    <t>화</t>
  </si>
  <si>
    <t>4월 1일</t>
  </si>
  <si>
    <t/>
  </si>
  <si>
    <t>수</t>
  </si>
  <si>
    <t>4월 2일</t>
  </si>
  <si>
    <t>목</t>
  </si>
  <si>
    <t>4월 3일</t>
  </si>
  <si>
    <t>금</t>
  </si>
  <si>
    <t>4월 4일</t>
  </si>
  <si>
    <t>일직</t>
  </si>
  <si>
    <t>토</t>
  </si>
  <si>
    <t>숙직</t>
  </si>
  <si>
    <t>4월 5일</t>
  </si>
  <si>
    <t>일</t>
  </si>
  <si>
    <t>4월 6일</t>
  </si>
  <si>
    <t>4월 7일</t>
  </si>
  <si>
    <t>4월 8일</t>
  </si>
  <si>
    <t>4월 9일</t>
  </si>
  <si>
    <t>4월 10일</t>
  </si>
  <si>
    <t>4월 11일</t>
  </si>
  <si>
    <t>4월 12일</t>
  </si>
  <si>
    <t>4월 13일</t>
  </si>
  <si>
    <t>4월 14일</t>
  </si>
  <si>
    <t>4월 15일</t>
  </si>
  <si>
    <t>4월 16일</t>
  </si>
  <si>
    <t>4월 17일</t>
  </si>
  <si>
    <t>4월 19일</t>
  </si>
  <si>
    <t>4월 20일</t>
  </si>
  <si>
    <t>4월 21일</t>
  </si>
  <si>
    <t>4월 22일</t>
  </si>
  <si>
    <t>4월 23일</t>
  </si>
  <si>
    <t>4월 24일</t>
  </si>
  <si>
    <t>4월 25일</t>
  </si>
  <si>
    <t>4월 26일</t>
  </si>
  <si>
    <t>4월 27일</t>
  </si>
  <si>
    <t>4월 28일</t>
  </si>
  <si>
    <t>4월 29일</t>
  </si>
  <si>
    <t>4월 30일</t>
  </si>
  <si>
    <t>4월 18일</t>
    <phoneticPr fontId="10" type="noConversion"/>
  </si>
  <si>
    <t>김동순</t>
    <phoneticPr fontId="10" type="noConversion"/>
  </si>
  <si>
    <t>권수진</t>
    <phoneticPr fontId="10" type="noConversion"/>
  </si>
  <si>
    <t>김수옥</t>
    <phoneticPr fontId="10" type="noConversion"/>
  </si>
  <si>
    <t>정병천</t>
    <phoneticPr fontId="10" type="noConversion"/>
  </si>
  <si>
    <t>허준희</t>
    <phoneticPr fontId="10" type="noConversion"/>
  </si>
  <si>
    <t>정문규</t>
    <phoneticPr fontId="10" type="noConversion"/>
  </si>
  <si>
    <t>박병철</t>
    <phoneticPr fontId="10" type="noConversion"/>
  </si>
  <si>
    <t>김예리</t>
    <phoneticPr fontId="10" type="noConversion"/>
  </si>
  <si>
    <t>양정태</t>
    <phoneticPr fontId="10" type="noConversion"/>
  </si>
  <si>
    <t>이상범</t>
    <phoneticPr fontId="10" type="noConversion"/>
  </si>
  <si>
    <t>김용훈</t>
    <phoneticPr fontId="10" type="noConversion"/>
  </si>
  <si>
    <t>김상우</t>
    <phoneticPr fontId="10" type="noConversion"/>
  </si>
  <si>
    <t>최원길</t>
    <phoneticPr fontId="10" type="noConversion"/>
  </si>
  <si>
    <t>김용직</t>
    <phoneticPr fontId="10" type="noConversion"/>
  </si>
  <si>
    <t>검색 도구</t>
    <phoneticPr fontId="10" type="noConversion"/>
  </si>
  <si>
    <t>최중덕</t>
    <phoneticPr fontId="10" type="noConversion"/>
  </si>
  <si>
    <t>전기옥</t>
    <phoneticPr fontId="10" type="noConversion"/>
  </si>
  <si>
    <t>정문규</t>
    <phoneticPr fontId="10" type="noConversion"/>
  </si>
  <si>
    <t>우영미</t>
    <phoneticPr fontId="10" type="noConversion"/>
  </si>
  <si>
    <t>정민정</t>
    <phoneticPr fontId="10" type="noConversion"/>
  </si>
  <si>
    <t>유은귀</t>
    <phoneticPr fontId="10" type="noConversion"/>
  </si>
  <si>
    <t>신상익</t>
    <phoneticPr fontId="10" type="noConversion"/>
  </si>
  <si>
    <t>김현태</t>
    <phoneticPr fontId="10" type="noConversion"/>
  </si>
  <si>
    <t>장정애</t>
    <phoneticPr fontId="10" type="noConversion"/>
  </si>
  <si>
    <t>행정과</t>
    <phoneticPr fontId="10" type="noConversion"/>
  </si>
  <si>
    <t>소방령</t>
    <phoneticPr fontId="10" type="noConversion"/>
  </si>
  <si>
    <t>재난과</t>
    <phoneticPr fontId="10" type="noConversion"/>
  </si>
  <si>
    <t>김연경</t>
    <phoneticPr fontId="10" type="noConversion"/>
  </si>
  <si>
    <t>예방과</t>
    <phoneticPr fontId="10" type="noConversion"/>
  </si>
  <si>
    <t>유영우</t>
    <phoneticPr fontId="10" type="noConversion"/>
  </si>
  <si>
    <t>심지우</t>
    <phoneticPr fontId="10" type="noConversion"/>
  </si>
  <si>
    <t>백승범</t>
    <phoneticPr fontId="10" type="noConversion"/>
  </si>
  <si>
    <t>장경재</t>
    <phoneticPr fontId="10" type="noConversion"/>
  </si>
  <si>
    <t>남궁명</t>
    <phoneticPr fontId="10" type="noConversion"/>
  </si>
  <si>
    <t>김기범</t>
    <phoneticPr fontId="10" type="noConversion"/>
  </si>
  <si>
    <t>이민철</t>
    <phoneticPr fontId="10" type="noConversion"/>
  </si>
  <si>
    <t>김규태</t>
    <phoneticPr fontId="10" type="noConversion"/>
  </si>
  <si>
    <t>김경태</t>
    <phoneticPr fontId="10" type="noConversion"/>
  </si>
  <si>
    <t>장경재</t>
    <phoneticPr fontId="10" type="noConversion"/>
  </si>
  <si>
    <t>박홍석</t>
    <phoneticPr fontId="10" type="noConversion"/>
  </si>
  <si>
    <t>서명원</t>
    <phoneticPr fontId="10" type="noConversion"/>
  </si>
  <si>
    <t>박병철</t>
    <phoneticPr fontId="10" type="noConversion"/>
  </si>
  <si>
    <t>이지형</t>
    <phoneticPr fontId="10" type="noConversion"/>
  </si>
  <si>
    <t>박홍석</t>
    <phoneticPr fontId="10" type="noConversion"/>
  </si>
  <si>
    <t>심지우</t>
    <phoneticPr fontId="10" type="noConversion"/>
  </si>
  <si>
    <t>2026년 4월 (상황)당직근무 변경 지정(9차)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</si>
</sst>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맑은 고딕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24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3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00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vertical="center"/>
    </xf>
    <xf numFmtId="0" fontId="15" fillId="0" borderId="1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vertical="center"/>
    </xf>
    <xf numFmtId="0" fontId="16" fillId="2" borderId="1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4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</cellXfs>
  <cellStyles count="13">
    <cellStyle name="표준" xfId="0" builtinId="0"/>
    <cellStyle name="표준 2" xfId="1" xr:uid="{00000000-0005-0000-0000-000001000000}"/>
    <cellStyle name="표준 3" xfId="2" xr:uid="{00000000-0005-0000-0000-000002000000}"/>
    <cellStyle name="표준 3 2" xfId="4" xr:uid="{00000000-0005-0000-0000-000003000000}"/>
    <cellStyle name="표준 3 2 2" xfId="10" xr:uid="{00000000-0005-0000-0000-000004000000}"/>
    <cellStyle name="표준 3 3" xfId="6" xr:uid="{00000000-0005-0000-0000-000005000000}"/>
    <cellStyle name="표준 3 3 2" xfId="12" xr:uid="{00000000-0005-0000-0000-000006000000}"/>
    <cellStyle name="표준 3 4" xfId="8" xr:uid="{00000000-0005-0000-0000-000007000000}"/>
    <cellStyle name="표준 4" xfId="3" xr:uid="{00000000-0005-0000-0000-000008000000}"/>
    <cellStyle name="표준 4 2" xfId="9" xr:uid="{00000000-0005-0000-0000-000009000000}"/>
    <cellStyle name="표준 5" xfId="5" xr:uid="{00000000-0005-0000-0000-00000A000000}"/>
    <cellStyle name="표준 5 2" xfId="11" xr:uid="{00000000-0005-0000-0000-00000B000000}"/>
    <cellStyle name="표준 6" xfId="7" xr:uid="{00000000-0005-0000-0000-00000C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  <color rgb="FFFF5050"/>
      <color rgb="FFFFCCFF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3C64A-9152-4EC0-A2FB-CEDA772B4AD4}" name="표1" displayName="표1" ref="B1:D45" totalsRowShown="0" headerRowDxfId="7" dataDxfId="6">
  <autoFilter ref="B1:D45" xr:uid="{8DF3C64A-9152-4EC0-A2FB-CEDA772B4AD4}"/>
  <tableColumns count="3">
    <tableColumn id="1" xr3:uid="{1831999B-8D45-4E34-B6D4-3E6E1E071F1A}" name="부서" dataDxfId="5"/>
    <tableColumn id="2" xr3:uid="{83D8B5F9-6AFD-4BDF-873B-E8C70810EA7C}" name="직급" dataDxfId="4"/>
    <tableColumn id="3" xr3:uid="{8928D853-7F29-4465-8623-C0F9756C8FE7}" name="성명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50"/>
  <sheetViews>
    <sheetView tabSelected="1" zoomScale="85" zoomScaleNormal="85" workbookViewId="0">
      <selection activeCell="B2" sqref="B2:K3"/>
    </sheetView>
  </sheetViews>
  <sheetFormatPr defaultRowHeight="16.5" x14ac:dyDescent="0.3"/>
  <cols>
    <col min="1" max="1" width="2.5" customWidth="1"/>
    <col min="2" max="2" width="11.625" style="4" bestFit="1" customWidth="1"/>
    <col min="3" max="3" width="6" style="1" bestFit="1" customWidth="1"/>
    <col min="4" max="4" width="6.5" style="3" customWidth="1"/>
    <col min="5" max="5" width="11" style="4" bestFit="1" customWidth="1"/>
    <col min="6" max="6" width="9" style="4"/>
    <col min="7" max="7" width="11" style="4" bestFit="1" customWidth="1"/>
    <col min="8" max="8" width="9" style="4"/>
    <col min="9" max="9" width="11" style="4" bestFit="1" customWidth="1"/>
    <col min="10" max="10" width="11" style="4" customWidth="1"/>
    <col min="11" max="11" width="7.25" style="4" customWidth="1"/>
    <col min="15" max="15" width="9.125" customWidth="1"/>
    <col min="26" max="26" width="11.625" bestFit="1" customWidth="1"/>
  </cols>
  <sheetData>
    <row r="1" spans="2:30" ht="20.100000000000001" customHeight="1" thickBot="1" x14ac:dyDescent="0.35">
      <c r="M1" s="16"/>
      <c r="N1" s="16"/>
      <c r="O1" s="36"/>
      <c r="P1" s="31"/>
      <c r="Q1" s="30"/>
      <c r="R1" s="29"/>
      <c r="S1" s="9"/>
      <c r="T1" s="29"/>
      <c r="U1" s="9"/>
      <c r="V1" s="65"/>
      <c r="W1" s="66"/>
      <c r="X1" s="7"/>
    </row>
    <row r="2" spans="2:30" ht="20.100000000000001" customHeight="1" x14ac:dyDescent="0.3">
      <c r="B2" s="84" t="s">
        <v>151</v>
      </c>
      <c r="C2" s="85"/>
      <c r="D2" s="85"/>
      <c r="E2" s="85"/>
      <c r="F2" s="85"/>
      <c r="G2" s="85"/>
      <c r="H2" s="85"/>
      <c r="I2" s="85"/>
      <c r="J2" s="85"/>
      <c r="K2" s="86"/>
      <c r="M2" s="16"/>
      <c r="N2" s="16"/>
      <c r="O2" s="36"/>
      <c r="P2" s="31"/>
      <c r="Q2" s="30"/>
      <c r="R2" s="29"/>
      <c r="S2" s="29"/>
      <c r="T2" s="29"/>
      <c r="U2" s="29"/>
      <c r="V2" s="65"/>
      <c r="W2" s="66"/>
      <c r="X2" s="7"/>
    </row>
    <row r="3" spans="2:30" ht="14.25" customHeight="1" thickBot="1" x14ac:dyDescent="0.35">
      <c r="B3" s="87"/>
      <c r="C3" s="88"/>
      <c r="D3" s="88"/>
      <c r="E3" s="88"/>
      <c r="F3" s="88"/>
      <c r="G3" s="88"/>
      <c r="H3" s="88"/>
      <c r="I3" s="88"/>
      <c r="J3" s="88"/>
      <c r="K3" s="8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2:30" ht="14.25" customHeight="1" x14ac:dyDescent="0.3">
      <c r="B4" s="90"/>
      <c r="C4" s="90"/>
      <c r="D4" s="90"/>
      <c r="E4" s="90"/>
      <c r="F4" s="90"/>
      <c r="G4" s="90"/>
      <c r="H4" s="90"/>
      <c r="I4" s="90"/>
      <c r="J4" s="90"/>
      <c r="K4" s="9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2:30" ht="17.25" customHeight="1" thickBot="1" x14ac:dyDescent="0.35">
      <c r="B5" s="91"/>
      <c r="C5" s="91"/>
      <c r="D5" s="91"/>
      <c r="E5" s="91"/>
      <c r="F5" s="91"/>
      <c r="G5" s="91"/>
      <c r="H5" s="91"/>
      <c r="I5" s="91"/>
      <c r="J5" s="91"/>
      <c r="K5" s="91"/>
      <c r="M5" s="7"/>
      <c r="N5" s="7"/>
      <c r="O5" s="20"/>
      <c r="P5" s="67"/>
      <c r="Q5" s="67"/>
      <c r="R5" s="67"/>
      <c r="S5" s="7"/>
      <c r="T5" s="7"/>
      <c r="U5" s="7"/>
      <c r="V5" s="7"/>
      <c r="W5" s="7"/>
      <c r="X5" s="7"/>
    </row>
    <row r="6" spans="2:30" ht="26.25" customHeight="1" thickBot="1" x14ac:dyDescent="0.35">
      <c r="B6" s="92" t="s">
        <v>28</v>
      </c>
      <c r="C6" s="82" t="s">
        <v>8</v>
      </c>
      <c r="D6" s="82" t="s">
        <v>0</v>
      </c>
      <c r="E6" s="82" t="s">
        <v>6</v>
      </c>
      <c r="F6" s="82"/>
      <c r="G6" s="82" t="s">
        <v>7</v>
      </c>
      <c r="H6" s="82"/>
      <c r="I6" s="82"/>
      <c r="J6" s="82"/>
      <c r="K6" s="94"/>
      <c r="M6" s="7"/>
      <c r="N6" s="7"/>
      <c r="O6" s="7"/>
      <c r="P6" s="67"/>
      <c r="Q6" s="67"/>
      <c r="R6" s="67"/>
      <c r="S6" s="7"/>
      <c r="T6" s="7"/>
      <c r="U6" s="7"/>
      <c r="V6" s="7"/>
      <c r="W6" s="7"/>
      <c r="X6" s="7"/>
    </row>
    <row r="7" spans="2:30" ht="19.5" x14ac:dyDescent="0.3">
      <c r="B7" s="93"/>
      <c r="C7" s="83"/>
      <c r="D7" s="83"/>
      <c r="E7" s="44" t="s">
        <v>1</v>
      </c>
      <c r="F7" s="44" t="s">
        <v>2</v>
      </c>
      <c r="G7" s="44" t="s">
        <v>1</v>
      </c>
      <c r="H7" s="44" t="s">
        <v>2</v>
      </c>
      <c r="I7" s="44" t="s">
        <v>1</v>
      </c>
      <c r="J7" s="44" t="s">
        <v>2</v>
      </c>
      <c r="K7" s="45" t="s">
        <v>21</v>
      </c>
      <c r="M7" s="95" t="s">
        <v>120</v>
      </c>
      <c r="N7" s="96"/>
      <c r="O7" s="97"/>
      <c r="P7" s="11"/>
      <c r="Q7" s="29"/>
      <c r="R7" s="7"/>
      <c r="S7" s="7"/>
      <c r="T7" s="11"/>
      <c r="U7" s="29"/>
      <c r="V7" s="7"/>
      <c r="W7" s="7"/>
      <c r="X7" s="11"/>
      <c r="AA7" s="7"/>
      <c r="AB7" s="7"/>
      <c r="AC7" s="7"/>
      <c r="AD7" s="7"/>
    </row>
    <row r="8" spans="2:30" s="2" customFormat="1" ht="21" customHeight="1" thickBot="1" x14ac:dyDescent="0.35">
      <c r="B8" s="55" t="s">
        <v>68</v>
      </c>
      <c r="C8" s="46" t="s">
        <v>69</v>
      </c>
      <c r="D8" s="44" t="s">
        <v>70</v>
      </c>
      <c r="E8" s="12" t="str">
        <f>_xlfn.XLOOKUP(F8, 표1[성명], 표1[직급], "")</f>
        <v>소방경</v>
      </c>
      <c r="F8" s="12" t="s">
        <v>106</v>
      </c>
      <c r="G8" s="12" t="str">
        <f>_xlfn.XLOOKUP(H8, 표1[성명], 표1[직급], "")</f>
        <v>소방위</v>
      </c>
      <c r="H8" s="12" t="s">
        <v>53</v>
      </c>
      <c r="I8" s="12" t="str">
        <f>_xlfn.XLOOKUP(J8, 표1[성명], 표1[직급], "")</f>
        <v>소방교</v>
      </c>
      <c r="J8" s="12" t="s">
        <v>59</v>
      </c>
      <c r="K8" s="19"/>
      <c r="M8" s="69" t="s">
        <v>63</v>
      </c>
      <c r="N8" s="98"/>
      <c r="O8" s="99"/>
      <c r="P8" s="7"/>
      <c r="Q8" s="68"/>
      <c r="R8" s="7"/>
      <c r="S8" s="7"/>
      <c r="T8" s="7"/>
      <c r="U8" s="68"/>
      <c r="V8" s="7"/>
      <c r="W8" s="7"/>
      <c r="X8" s="7"/>
      <c r="AA8" s="7"/>
      <c r="AB8" s="7"/>
      <c r="AC8" s="7"/>
      <c r="AD8" s="7"/>
    </row>
    <row r="9" spans="2:30" s="2" customFormat="1" ht="21" customHeight="1" x14ac:dyDescent="0.3">
      <c r="B9" s="55" t="s">
        <v>71</v>
      </c>
      <c r="C9" s="46" t="s">
        <v>69</v>
      </c>
      <c r="D9" s="44" t="s">
        <v>72</v>
      </c>
      <c r="E9" s="12" t="str">
        <f>_xlfn.XLOOKUP(F9, 표1[성명], 표1[직급], "")</f>
        <v>소방경</v>
      </c>
      <c r="F9" s="6" t="s">
        <v>14</v>
      </c>
      <c r="G9" s="12" t="str">
        <f>_xlfn.XLOOKUP(H9, 표1[성명], 표1[직급], "")</f>
        <v>소방위</v>
      </c>
      <c r="H9" s="6" t="s">
        <v>48</v>
      </c>
      <c r="I9" s="12" t="str">
        <f>_xlfn.XLOOKUP(J9, 표1[성명], 표1[직급], "")</f>
        <v>소방교</v>
      </c>
      <c r="J9" s="6" t="s">
        <v>60</v>
      </c>
      <c r="K9" s="5"/>
      <c r="M9" s="8"/>
      <c r="N9" s="8"/>
      <c r="O9" s="11"/>
      <c r="P9" s="8"/>
      <c r="Q9" s="29"/>
      <c r="R9" s="9"/>
      <c r="S9" s="9"/>
      <c r="T9" s="8"/>
      <c r="U9" s="9"/>
      <c r="V9" s="29"/>
      <c r="W9" s="9"/>
      <c r="X9" s="8"/>
      <c r="AA9" s="7"/>
      <c r="AB9" s="21"/>
      <c r="AC9" s="20"/>
      <c r="AD9" s="7"/>
    </row>
    <row r="10" spans="2:30" s="2" customFormat="1" ht="21" customHeight="1" x14ac:dyDescent="0.3">
      <c r="B10" s="55" t="s">
        <v>73</v>
      </c>
      <c r="C10" s="46" t="s">
        <v>69</v>
      </c>
      <c r="D10" s="44" t="s">
        <v>74</v>
      </c>
      <c r="E10" s="12" t="str">
        <f>_xlfn.XLOOKUP(F10, 표1[성명], 표1[직급], "")</f>
        <v>소방경</v>
      </c>
      <c r="F10" s="6" t="s">
        <v>19</v>
      </c>
      <c r="G10" s="12" t="str">
        <f>_xlfn.XLOOKUP(H10, 표1[성명], 표1[직급], "")</f>
        <v>소방위</v>
      </c>
      <c r="H10" s="6" t="s">
        <v>36</v>
      </c>
      <c r="I10" s="12" t="str">
        <f>_xlfn.XLOOKUP(J10, 표1[성명], 표1[직급], "")</f>
        <v>소방장</v>
      </c>
      <c r="J10" s="6" t="s">
        <v>110</v>
      </c>
      <c r="K10" s="5"/>
      <c r="M10" s="8"/>
      <c r="N10" s="8"/>
      <c r="O10" s="11"/>
      <c r="P10" s="8"/>
      <c r="Q10" s="29"/>
      <c r="R10" s="9"/>
      <c r="S10" s="9"/>
      <c r="T10" s="8"/>
      <c r="U10" s="9"/>
      <c r="V10" s="29"/>
      <c r="W10" s="9"/>
      <c r="X10" s="8"/>
      <c r="AA10" s="7"/>
      <c r="AB10" s="21"/>
      <c r="AC10" s="20"/>
      <c r="AD10" s="7"/>
    </row>
    <row r="11" spans="2:30" s="2" customFormat="1" ht="21" customHeight="1" x14ac:dyDescent="0.3">
      <c r="B11" s="60" t="s">
        <v>75</v>
      </c>
      <c r="C11" s="47" t="s">
        <v>76</v>
      </c>
      <c r="D11" s="63" t="s">
        <v>77</v>
      </c>
      <c r="E11" s="48" t="str">
        <f>_xlfn.XLOOKUP(F11, 표1[성명], 표1[직급], "")</f>
        <v>소방령</v>
      </c>
      <c r="F11" s="49" t="s">
        <v>128</v>
      </c>
      <c r="G11" s="48" t="str">
        <f>_xlfn.XLOOKUP(H11, 표1[성명], 표1[직급], "")</f>
        <v>소방위</v>
      </c>
      <c r="H11" s="49" t="s">
        <v>47</v>
      </c>
      <c r="I11" s="48" t="str">
        <f>_xlfn.XLOOKUP(J11, 표1[성명], 표1[직급], "")</f>
        <v>소방교</v>
      </c>
      <c r="J11" s="49" t="s">
        <v>113</v>
      </c>
      <c r="K11" s="50"/>
      <c r="M11" s="8"/>
      <c r="N11" s="8"/>
      <c r="O11" s="9"/>
      <c r="P11" s="8"/>
      <c r="Q11" s="29"/>
      <c r="R11" s="9"/>
      <c r="S11" s="9"/>
      <c r="T11" s="8"/>
      <c r="U11" s="9"/>
      <c r="V11" s="29"/>
      <c r="W11" s="9"/>
      <c r="X11" s="8"/>
      <c r="AA11" s="7"/>
      <c r="AB11" s="22"/>
      <c r="AC11" s="20"/>
      <c r="AD11" s="7"/>
    </row>
    <row r="12" spans="2:30" s="2" customFormat="1" ht="21" customHeight="1" x14ac:dyDescent="0.3">
      <c r="B12" s="62"/>
      <c r="C12" s="51" t="s">
        <v>78</v>
      </c>
      <c r="D12" s="27"/>
      <c r="E12" s="52" t="str">
        <f>_xlfn.XLOOKUP(F12, 표1[성명], 표1[직급], "")</f>
        <v>소방경</v>
      </c>
      <c r="F12" s="52" t="s">
        <v>26</v>
      </c>
      <c r="G12" s="52" t="str">
        <f>_xlfn.XLOOKUP(H12, 표1[성명], 표1[직급], "")</f>
        <v>소방위</v>
      </c>
      <c r="H12" s="52" t="s">
        <v>33</v>
      </c>
      <c r="I12" s="52" t="str">
        <f>_xlfn.XLOOKUP(J12, 표1[성명], 표1[직급], "")</f>
        <v>소방교</v>
      </c>
      <c r="J12" s="52" t="s">
        <v>37</v>
      </c>
      <c r="K12" s="53"/>
      <c r="M12" s="9"/>
      <c r="N12" s="8"/>
      <c r="O12" s="9"/>
      <c r="P12" s="8"/>
      <c r="Q12" s="9"/>
      <c r="R12" s="9"/>
      <c r="S12" s="9"/>
      <c r="T12" s="8"/>
      <c r="U12" s="9"/>
      <c r="V12" s="29"/>
      <c r="W12" s="9"/>
      <c r="X12" s="8"/>
      <c r="AA12" s="7"/>
      <c r="AB12" s="22"/>
      <c r="AC12" s="7"/>
      <c r="AD12" s="7"/>
    </row>
    <row r="13" spans="2:30" s="2" customFormat="1" ht="21" customHeight="1" x14ac:dyDescent="0.3">
      <c r="B13" s="64" t="s">
        <v>79</v>
      </c>
      <c r="C13" s="51" t="s">
        <v>76</v>
      </c>
      <c r="D13" s="26" t="s">
        <v>80</v>
      </c>
      <c r="E13" s="52" t="str">
        <f>_xlfn.XLOOKUP(F13, 표1[성명], 표1[직급], "")</f>
        <v>소방령</v>
      </c>
      <c r="F13" s="43" t="s">
        <v>129</v>
      </c>
      <c r="G13" s="52" t="str">
        <f>_xlfn.XLOOKUP(H13, 표1[성명], 표1[직급], "")</f>
        <v>소방위</v>
      </c>
      <c r="H13" s="43" t="s">
        <v>124</v>
      </c>
      <c r="I13" s="52" t="str">
        <f>_xlfn.XLOOKUP(J13, 표1[성명], 표1[직급], "")</f>
        <v>소방교</v>
      </c>
      <c r="J13" s="43" t="s">
        <v>56</v>
      </c>
      <c r="K13" s="54"/>
      <c r="M13" s="9"/>
      <c r="N13" s="8"/>
      <c r="O13" s="9"/>
      <c r="P13" s="8"/>
      <c r="Q13" s="9"/>
      <c r="R13" s="9"/>
      <c r="S13" s="9"/>
      <c r="T13" s="8"/>
      <c r="U13" s="9"/>
      <c r="V13" s="29"/>
      <c r="W13" s="9"/>
      <c r="X13" s="8"/>
      <c r="AA13" s="7"/>
      <c r="AB13" s="22"/>
      <c r="AC13" s="7"/>
      <c r="AD13" s="7"/>
    </row>
    <row r="14" spans="2:30" s="2" customFormat="1" ht="21" customHeight="1" x14ac:dyDescent="0.3">
      <c r="B14" s="61"/>
      <c r="C14" s="51" t="s">
        <v>78</v>
      </c>
      <c r="D14" s="27"/>
      <c r="E14" s="52" t="str">
        <f>_xlfn.XLOOKUP(F14, 표1[성명], 표1[직급], "")</f>
        <v>소방경</v>
      </c>
      <c r="F14" s="52" t="s">
        <v>50</v>
      </c>
      <c r="G14" s="52" t="str">
        <f>_xlfn.XLOOKUP(H14, 표1[성명], 표1[직급], "")</f>
        <v>소방위</v>
      </c>
      <c r="H14" s="52" t="s">
        <v>16</v>
      </c>
      <c r="I14" s="52" t="str">
        <f>_xlfn.XLOOKUP(J14, 표1[성명], 표1[직급], "")</f>
        <v>소방교</v>
      </c>
      <c r="J14" s="52" t="s">
        <v>38</v>
      </c>
      <c r="K14" s="53"/>
      <c r="M14" s="22"/>
      <c r="N14" s="21"/>
      <c r="O14" s="22"/>
      <c r="P14" s="8"/>
      <c r="Q14" s="9"/>
      <c r="R14" s="9"/>
      <c r="S14" s="9"/>
      <c r="T14" s="8"/>
      <c r="U14" s="9"/>
      <c r="V14" s="29"/>
      <c r="W14" s="9"/>
      <c r="X14" s="8"/>
      <c r="AA14" s="7"/>
      <c r="AB14" s="22"/>
      <c r="AC14" s="7"/>
      <c r="AD14" s="7"/>
    </row>
    <row r="15" spans="2:30" s="2" customFormat="1" ht="21" customHeight="1" x14ac:dyDescent="0.3">
      <c r="B15" s="55" t="s">
        <v>81</v>
      </c>
      <c r="C15" s="46" t="s">
        <v>69</v>
      </c>
      <c r="D15" s="44" t="s">
        <v>66</v>
      </c>
      <c r="E15" s="12" t="str">
        <f>_xlfn.XLOOKUP(F15, 표1[성명], 표1[직급], "")</f>
        <v>소방경</v>
      </c>
      <c r="F15" s="6" t="s">
        <v>109</v>
      </c>
      <c r="G15" s="12" t="str">
        <f>_xlfn.XLOOKUP(H15, 표1[성명], 표1[직급], "")</f>
        <v>소방위</v>
      </c>
      <c r="H15" s="6" t="s">
        <v>10</v>
      </c>
      <c r="I15" s="12" t="str">
        <f>_xlfn.XLOOKUP(J15, 표1[성명], 표1[직급], "")</f>
        <v>소방교</v>
      </c>
      <c r="J15" s="6" t="s">
        <v>57</v>
      </c>
      <c r="K15" s="5"/>
      <c r="M15" s="9"/>
      <c r="N15" s="8"/>
      <c r="O15" s="9"/>
      <c r="P15" s="8"/>
      <c r="Q15" s="9"/>
      <c r="R15" s="9"/>
      <c r="S15" s="29"/>
      <c r="T15" s="8"/>
      <c r="U15" s="9"/>
      <c r="V15" s="29"/>
      <c r="W15" s="9"/>
      <c r="X15" s="8"/>
      <c r="AA15" s="7"/>
      <c r="AB15" s="22"/>
      <c r="AC15" s="7"/>
      <c r="AD15" s="7"/>
    </row>
    <row r="16" spans="2:30" s="2" customFormat="1" ht="21" customHeight="1" x14ac:dyDescent="0.3">
      <c r="B16" s="55" t="s">
        <v>82</v>
      </c>
      <c r="C16" s="46" t="s">
        <v>69</v>
      </c>
      <c r="D16" s="44" t="s">
        <v>67</v>
      </c>
      <c r="E16" s="12" t="str">
        <f>_xlfn.XLOOKUP(F16, 표1[성명], 표1[직급], "")</f>
        <v>소방경</v>
      </c>
      <c r="F16" s="6" t="s">
        <v>51</v>
      </c>
      <c r="G16" s="12" t="str">
        <f>_xlfn.XLOOKUP(H16, 표1[성명], 표1[직급], "")</f>
        <v>소방위</v>
      </c>
      <c r="H16" s="6" t="s">
        <v>115</v>
      </c>
      <c r="I16" s="12" t="str">
        <f>_xlfn.XLOOKUP(J16, 표1[성명], 표1[직급], "")</f>
        <v>소방교</v>
      </c>
      <c r="J16" s="6" t="s">
        <v>18</v>
      </c>
      <c r="K16" s="5"/>
      <c r="M16" s="9"/>
      <c r="N16" s="8"/>
      <c r="O16" s="9"/>
      <c r="P16" s="8"/>
      <c r="Q16" s="9"/>
      <c r="R16" s="9"/>
      <c r="S16" s="9"/>
      <c r="T16" s="8"/>
      <c r="U16" s="9"/>
      <c r="V16" s="29"/>
      <c r="W16" s="9"/>
      <c r="X16" s="8"/>
      <c r="AA16" s="7"/>
      <c r="AB16" s="22"/>
      <c r="AC16" s="7"/>
      <c r="AD16" s="7"/>
    </row>
    <row r="17" spans="2:30" ht="19.5" x14ac:dyDescent="0.3">
      <c r="B17" s="55" t="s">
        <v>83</v>
      </c>
      <c r="C17" s="46" t="s">
        <v>69</v>
      </c>
      <c r="D17" s="44" t="s">
        <v>70</v>
      </c>
      <c r="E17" s="12" t="str">
        <f>_xlfn.XLOOKUP(F17, 표1[성명], 표1[직급], "")</f>
        <v>소방경</v>
      </c>
      <c r="F17" s="6" t="s">
        <v>112</v>
      </c>
      <c r="G17" s="12" t="str">
        <f>_xlfn.XLOOKUP(H17, 표1[성명], 표1[직급], "")</f>
        <v>소방위</v>
      </c>
      <c r="H17" s="6" t="s">
        <v>34</v>
      </c>
      <c r="I17" s="70" t="str">
        <f>_xlfn.XLOOKUP(J17, 표1[성명], 표1[직급], "")</f>
        <v>소방장</v>
      </c>
      <c r="J17" s="71" t="s">
        <v>31</v>
      </c>
      <c r="K17" s="5"/>
      <c r="M17" s="9"/>
      <c r="N17" s="8"/>
      <c r="O17" s="9"/>
      <c r="P17" s="8"/>
      <c r="Q17" s="9"/>
      <c r="R17" s="29"/>
      <c r="S17" s="29"/>
      <c r="T17" s="8"/>
      <c r="U17" s="9"/>
      <c r="V17" s="29"/>
      <c r="W17" s="9"/>
      <c r="X17" s="8"/>
      <c r="AA17" s="7"/>
      <c r="AB17" s="21"/>
      <c r="AC17" s="7"/>
      <c r="AD17" s="7"/>
    </row>
    <row r="18" spans="2:30" ht="19.5" x14ac:dyDescent="0.3">
      <c r="B18" s="55" t="s">
        <v>84</v>
      </c>
      <c r="C18" s="46" t="s">
        <v>69</v>
      </c>
      <c r="D18" s="44" t="s">
        <v>72</v>
      </c>
      <c r="E18" s="12" t="str">
        <f>_xlfn.XLOOKUP(F18, 표1[성명], 표1[직급], "")</f>
        <v>소방경</v>
      </c>
      <c r="F18" s="6" t="s">
        <v>122</v>
      </c>
      <c r="G18" s="12" t="str">
        <f>_xlfn.XLOOKUP(H18, 표1[성명], 표1[직급], "")</f>
        <v>소방위</v>
      </c>
      <c r="H18" s="6" t="s">
        <v>12</v>
      </c>
      <c r="I18" s="70" t="str">
        <f>_xlfn.XLOOKUP(J18, 표1[성명], 표1[직급], "")</f>
        <v>소방교</v>
      </c>
      <c r="J18" s="71" t="s">
        <v>137</v>
      </c>
      <c r="K18" s="5"/>
      <c r="M18" s="9"/>
      <c r="N18" s="8"/>
      <c r="O18" s="9"/>
      <c r="P18" s="8"/>
      <c r="Q18" s="9"/>
      <c r="R18" s="9"/>
      <c r="S18" s="9"/>
      <c r="T18" s="8"/>
      <c r="U18" s="9"/>
      <c r="V18" s="29"/>
      <c r="W18" s="9"/>
      <c r="X18" s="8"/>
      <c r="AA18" s="7"/>
      <c r="AB18" s="22"/>
      <c r="AC18" s="20"/>
      <c r="AD18" s="7"/>
    </row>
    <row r="19" spans="2:30" ht="19.5" x14ac:dyDescent="0.3">
      <c r="B19" s="55" t="s">
        <v>85</v>
      </c>
      <c r="C19" s="46" t="s">
        <v>69</v>
      </c>
      <c r="D19" s="44" t="s">
        <v>74</v>
      </c>
      <c r="E19" s="70" t="str">
        <f>_xlfn.XLOOKUP(F19, 표1[성명], 표1[직급], "")</f>
        <v>소방경</v>
      </c>
      <c r="F19" s="71" t="s">
        <v>54</v>
      </c>
      <c r="G19" s="70" t="str">
        <f>_xlfn.XLOOKUP(H19, 표1[성명], 표1[직급], "")</f>
        <v>소방위</v>
      </c>
      <c r="H19" s="71" t="s">
        <v>143</v>
      </c>
      <c r="I19" s="70" t="str">
        <f>_xlfn.XLOOKUP(J19, 표1[성명], 표1[직급], "")</f>
        <v>소방장</v>
      </c>
      <c r="J19" s="71" t="s">
        <v>20</v>
      </c>
      <c r="K19" s="5"/>
      <c r="M19" s="9"/>
      <c r="N19" s="29"/>
      <c r="O19" s="9"/>
      <c r="P19" s="8"/>
      <c r="Q19" s="9"/>
      <c r="R19" s="9"/>
      <c r="S19" s="9"/>
      <c r="T19" s="8"/>
      <c r="U19" s="9"/>
      <c r="V19" s="29"/>
      <c r="W19" s="9"/>
      <c r="X19" s="8"/>
      <c r="AA19" s="7"/>
      <c r="AB19" s="21"/>
      <c r="AC19" s="7"/>
      <c r="AD19" s="7"/>
    </row>
    <row r="20" spans="2:30" s="2" customFormat="1" ht="21" customHeight="1" x14ac:dyDescent="0.3">
      <c r="B20" s="64" t="s">
        <v>86</v>
      </c>
      <c r="C20" s="51" t="s">
        <v>76</v>
      </c>
      <c r="D20" s="26" t="s">
        <v>77</v>
      </c>
      <c r="E20" s="72" t="str">
        <f>_xlfn.XLOOKUP(F20, 표1[성명], 표1[직급], "")</f>
        <v>소방경</v>
      </c>
      <c r="F20" s="73" t="s">
        <v>123</v>
      </c>
      <c r="G20" s="72" t="str">
        <f>_xlfn.XLOOKUP(H20, 표1[성명], 표1[직급], "")</f>
        <v>소방위</v>
      </c>
      <c r="H20" s="73" t="s">
        <v>108</v>
      </c>
      <c r="I20" s="72" t="str">
        <f>_xlfn.XLOOKUP(J20, 표1[성명], 표1[직급], "")</f>
        <v>소방사</v>
      </c>
      <c r="J20" s="73" t="s">
        <v>114</v>
      </c>
      <c r="K20" s="54"/>
      <c r="M20" s="22"/>
      <c r="N20" s="21"/>
      <c r="O20" s="22"/>
      <c r="P20" s="8"/>
      <c r="Q20" s="9"/>
      <c r="R20" s="9"/>
      <c r="S20" s="9"/>
      <c r="T20" s="8"/>
      <c r="U20" s="9"/>
      <c r="V20" s="29"/>
      <c r="W20" s="9"/>
      <c r="X20" s="8"/>
      <c r="AA20" s="7"/>
      <c r="AB20" s="22"/>
      <c r="AC20" s="7"/>
      <c r="AD20" s="7"/>
    </row>
    <row r="21" spans="2:30" s="2" customFormat="1" ht="21" customHeight="1" x14ac:dyDescent="0.3">
      <c r="B21" s="61"/>
      <c r="C21" s="51" t="s">
        <v>78</v>
      </c>
      <c r="D21" s="27"/>
      <c r="E21" s="72" t="str">
        <f>_xlfn.XLOOKUP(F21, 표1[성명], 표1[직급], "")</f>
        <v>소방경</v>
      </c>
      <c r="F21" s="72" t="s">
        <v>19</v>
      </c>
      <c r="G21" s="72" t="str">
        <f>_xlfn.XLOOKUP(H21, 표1[성명], 표1[직급], "")</f>
        <v>소방위</v>
      </c>
      <c r="H21" s="72" t="s">
        <v>139</v>
      </c>
      <c r="I21" s="72" t="str">
        <f>_xlfn.XLOOKUP(J21, 표1[성명], 표1[직급], "")</f>
        <v>소방사</v>
      </c>
      <c r="J21" s="72" t="s">
        <v>58</v>
      </c>
      <c r="K21" s="53"/>
      <c r="M21" s="9"/>
      <c r="N21" s="11"/>
      <c r="O21" s="9"/>
      <c r="P21" s="8"/>
      <c r="Q21" s="9"/>
      <c r="R21" s="9"/>
      <c r="S21" s="9"/>
      <c r="T21" s="8"/>
      <c r="U21" s="9"/>
      <c r="V21" s="29"/>
      <c r="W21" s="9"/>
      <c r="X21" s="8"/>
      <c r="AA21" s="7"/>
      <c r="AB21" s="22"/>
      <c r="AC21" s="7"/>
      <c r="AD21" s="7"/>
    </row>
    <row r="22" spans="2:30" ht="19.5" x14ac:dyDescent="0.3">
      <c r="B22" s="64" t="s">
        <v>87</v>
      </c>
      <c r="C22" s="51" t="s">
        <v>76</v>
      </c>
      <c r="D22" s="26" t="s">
        <v>80</v>
      </c>
      <c r="E22" s="72" t="str">
        <f>_xlfn.XLOOKUP(F22, 표1[성명], 표1[직급], "")</f>
        <v>소방경</v>
      </c>
      <c r="F22" s="73" t="s">
        <v>30</v>
      </c>
      <c r="G22" s="72" t="str">
        <f>_xlfn.XLOOKUP(H22, 표1[성명], 표1[직급], "")</f>
        <v>소방위</v>
      </c>
      <c r="H22" s="73" t="s">
        <v>125</v>
      </c>
      <c r="I22" s="72" t="str">
        <f>_xlfn.XLOOKUP(J22, 표1[성명], 표1[직급], "")</f>
        <v>소방장</v>
      </c>
      <c r="J22" s="73" t="s">
        <v>135</v>
      </c>
      <c r="K22" s="54"/>
      <c r="M22" s="80"/>
      <c r="N22" s="80"/>
      <c r="O22" s="80"/>
      <c r="P22" s="8"/>
      <c r="Q22" s="9"/>
      <c r="R22" s="9"/>
      <c r="S22" s="9"/>
      <c r="T22" s="8"/>
      <c r="U22" s="9"/>
      <c r="V22" s="29"/>
      <c r="W22" s="9"/>
      <c r="X22" s="8"/>
      <c r="Z22" s="28"/>
      <c r="AA22" s="7"/>
      <c r="AB22" s="22"/>
      <c r="AC22" s="7"/>
      <c r="AD22" s="7"/>
    </row>
    <row r="23" spans="2:30" ht="19.5" x14ac:dyDescent="0.3">
      <c r="B23" s="61"/>
      <c r="C23" s="51" t="s">
        <v>78</v>
      </c>
      <c r="D23" s="27"/>
      <c r="E23" s="72" t="str">
        <f>_xlfn.XLOOKUP(F23, 표1[성명], 표1[직급], "")</f>
        <v>소방경</v>
      </c>
      <c r="F23" s="72" t="s">
        <v>26</v>
      </c>
      <c r="G23" s="72" t="str">
        <f>_xlfn.XLOOKUP(H23, 표1[성명], 표1[직급], "")</f>
        <v>소방장</v>
      </c>
      <c r="H23" s="72" t="s">
        <v>107</v>
      </c>
      <c r="I23" s="72" t="str">
        <f>_xlfn.XLOOKUP(J23, 표1[성명], 표1[직급], "")</f>
        <v>소방교</v>
      </c>
      <c r="J23" s="72" t="s">
        <v>60</v>
      </c>
      <c r="K23" s="53"/>
      <c r="M23" s="9"/>
      <c r="N23" s="81"/>
      <c r="O23" s="81"/>
      <c r="P23" s="8"/>
      <c r="Q23" s="29"/>
      <c r="R23" s="9"/>
      <c r="S23" s="9"/>
      <c r="T23" s="8"/>
      <c r="U23" s="29"/>
      <c r="V23" s="29"/>
      <c r="W23" s="29"/>
      <c r="X23" s="8"/>
      <c r="AA23" s="7"/>
      <c r="AB23" s="7"/>
      <c r="AC23" s="7"/>
      <c r="AD23" s="7"/>
    </row>
    <row r="24" spans="2:30" s="2" customFormat="1" ht="21" customHeight="1" x14ac:dyDescent="0.3">
      <c r="B24" s="55" t="s">
        <v>88</v>
      </c>
      <c r="C24" s="46" t="s">
        <v>69</v>
      </c>
      <c r="D24" s="44" t="s">
        <v>66</v>
      </c>
      <c r="E24" s="70" t="str">
        <f>_xlfn.XLOOKUP(F24, 표1[성명], 표1[직급], "")</f>
        <v>소방경</v>
      </c>
      <c r="F24" s="71" t="s">
        <v>146</v>
      </c>
      <c r="G24" s="70" t="str">
        <f>_xlfn.XLOOKUP(H24, 표1[성명], 표1[직급], "")</f>
        <v>소방위</v>
      </c>
      <c r="H24" s="71" t="s">
        <v>53</v>
      </c>
      <c r="I24" s="70" t="str">
        <f>_xlfn.XLOOKUP(J24, 표1[성명], 표1[직급], "")</f>
        <v>소방교</v>
      </c>
      <c r="J24" s="71" t="s">
        <v>17</v>
      </c>
      <c r="K24" s="5"/>
      <c r="M24" s="7"/>
      <c r="N24" s="7"/>
      <c r="O24" s="7"/>
      <c r="P24" s="7"/>
      <c r="Q24" s="29"/>
      <c r="R24" s="9"/>
      <c r="S24" s="9"/>
      <c r="T24" s="8"/>
      <c r="U24" s="7"/>
      <c r="V24" s="7"/>
      <c r="W24" s="7"/>
      <c r="X24" s="7"/>
      <c r="AA24" s="7"/>
      <c r="AB24" s="7"/>
      <c r="AC24" s="7"/>
      <c r="AD24" s="7"/>
    </row>
    <row r="25" spans="2:30" s="2" customFormat="1" ht="21" customHeight="1" x14ac:dyDescent="0.3">
      <c r="B25" s="55" t="s">
        <v>89</v>
      </c>
      <c r="C25" s="46" t="s">
        <v>69</v>
      </c>
      <c r="D25" s="44" t="s">
        <v>67</v>
      </c>
      <c r="E25" s="70" t="str">
        <f>_xlfn.XLOOKUP(F25, 표1[성명], 표1[직급], "")</f>
        <v>소방경</v>
      </c>
      <c r="F25" s="71" t="s">
        <v>147</v>
      </c>
      <c r="G25" s="70" t="str">
        <f>_xlfn.XLOOKUP(H25, 표1[성명], 표1[직급], "")</f>
        <v>소방위</v>
      </c>
      <c r="H25" s="71" t="s">
        <v>116</v>
      </c>
      <c r="I25" s="70" t="str">
        <f>_xlfn.XLOOKUP(J25, 표1[성명], 표1[직급], "")</f>
        <v>소방사</v>
      </c>
      <c r="J25" s="71" t="s">
        <v>61</v>
      </c>
      <c r="K25" s="5"/>
      <c r="M25" s="13"/>
      <c r="N25" s="13"/>
      <c r="O25" s="11"/>
      <c r="P25" s="9"/>
      <c r="Q25" s="9"/>
      <c r="R25" s="9"/>
      <c r="S25" s="9"/>
      <c r="T25" s="8"/>
      <c r="U25" s="9"/>
      <c r="V25" s="11"/>
      <c r="W25" s="9"/>
      <c r="X25" s="9"/>
      <c r="AA25" s="7"/>
      <c r="AB25" s="7"/>
      <c r="AC25" s="7"/>
      <c r="AD25" s="7"/>
    </row>
    <row r="26" spans="2:30" s="2" customFormat="1" ht="21" customHeight="1" x14ac:dyDescent="0.3">
      <c r="B26" s="55" t="s">
        <v>90</v>
      </c>
      <c r="C26" s="46" t="s">
        <v>69</v>
      </c>
      <c r="D26" s="44" t="s">
        <v>70</v>
      </c>
      <c r="E26" s="70" t="str">
        <f>_xlfn.XLOOKUP(F26, 표1[성명], 표1[직급], "")</f>
        <v>소방경</v>
      </c>
      <c r="F26" s="71" t="s">
        <v>43</v>
      </c>
      <c r="G26" s="70" t="str">
        <f>_xlfn.XLOOKUP(H26, 표1[성명], 표1[직급], "")</f>
        <v>소방위</v>
      </c>
      <c r="H26" s="71" t="s">
        <v>36</v>
      </c>
      <c r="I26" s="70" t="str">
        <f>_xlfn.XLOOKUP(J26, 표1[성명], 표1[직급], "")</f>
        <v>소방장</v>
      </c>
      <c r="J26" s="71" t="s">
        <v>110</v>
      </c>
      <c r="K26" s="5"/>
      <c r="M26" s="13"/>
      <c r="N26" s="13"/>
      <c r="O26" s="14"/>
      <c r="P26" s="10"/>
      <c r="Q26" s="7"/>
      <c r="R26" s="7"/>
      <c r="S26" s="7"/>
      <c r="T26" s="11"/>
      <c r="U26" s="11"/>
      <c r="V26" s="11"/>
      <c r="W26" s="11"/>
      <c r="X26" s="11"/>
      <c r="AA26" s="7"/>
      <c r="AB26" s="7"/>
      <c r="AC26" s="7"/>
      <c r="AD26" s="7"/>
    </row>
    <row r="27" spans="2:30" s="2" customFormat="1" ht="21" customHeight="1" x14ac:dyDescent="0.3">
      <c r="B27" s="55" t="s">
        <v>91</v>
      </c>
      <c r="C27" s="46" t="s">
        <v>69</v>
      </c>
      <c r="D27" s="44" t="s">
        <v>72</v>
      </c>
      <c r="E27" s="70" t="str">
        <f>_xlfn.XLOOKUP(F27, 표1[성명], 표1[직급], "")</f>
        <v>소방경</v>
      </c>
      <c r="F27" s="71" t="s">
        <v>51</v>
      </c>
      <c r="G27" s="70" t="str">
        <f>_xlfn.XLOOKUP(H27, 표1[성명], 표1[직급], "")</f>
        <v>소방위</v>
      </c>
      <c r="H27" s="71" t="s">
        <v>47</v>
      </c>
      <c r="I27" s="70" t="str">
        <f>_xlfn.XLOOKUP(J27, 표1[성명], 표1[직급], "")</f>
        <v>소방교</v>
      </c>
      <c r="J27" s="71" t="s">
        <v>117</v>
      </c>
      <c r="K27" s="5"/>
      <c r="N27" s="7"/>
      <c r="O27" s="11"/>
      <c r="P27" s="9"/>
      <c r="T27" s="9"/>
      <c r="U27" s="9"/>
      <c r="V27" s="11"/>
      <c r="W27" s="9"/>
      <c r="X27" s="9"/>
      <c r="AA27" s="7"/>
      <c r="AB27" s="7"/>
      <c r="AC27" s="7"/>
      <c r="AD27" s="7"/>
    </row>
    <row r="28" spans="2:30" s="2" customFormat="1" ht="21" customHeight="1" x14ac:dyDescent="0.3">
      <c r="B28" s="55" t="s">
        <v>92</v>
      </c>
      <c r="C28" s="46" t="s">
        <v>69</v>
      </c>
      <c r="D28" s="44" t="s">
        <v>74</v>
      </c>
      <c r="E28" s="70" t="str">
        <f>_xlfn.XLOOKUP(F28, 표1[성명], 표1[직급], "")</f>
        <v>소방경</v>
      </c>
      <c r="F28" s="71" t="s">
        <v>106</v>
      </c>
      <c r="G28" s="70" t="str">
        <f>_xlfn.XLOOKUP(H28, 표1[성명], 표1[직급], "")</f>
        <v>소방위</v>
      </c>
      <c r="H28" s="71" t="s">
        <v>33</v>
      </c>
      <c r="I28" s="70" t="str">
        <f>_xlfn.XLOOKUP(J28, 표1[성명], 표1[직급], "")</f>
        <v>소방교</v>
      </c>
      <c r="J28" s="71" t="s">
        <v>144</v>
      </c>
      <c r="K28" s="5"/>
      <c r="N28" s="7"/>
      <c r="O28" s="11"/>
      <c r="P28" s="11"/>
      <c r="Q28" s="11"/>
      <c r="R28" s="9"/>
      <c r="S28" s="9"/>
      <c r="T28" s="11"/>
      <c r="U28" s="11"/>
      <c r="V28" s="11"/>
      <c r="W28" s="15"/>
      <c r="X28" s="15"/>
    </row>
    <row r="29" spans="2:30" s="2" customFormat="1" ht="21" customHeight="1" x14ac:dyDescent="0.3">
      <c r="B29" s="64" t="s">
        <v>105</v>
      </c>
      <c r="C29" s="51" t="s">
        <v>42</v>
      </c>
      <c r="D29" s="26" t="s">
        <v>41</v>
      </c>
      <c r="E29" s="72" t="str">
        <f>_xlfn.XLOOKUP(F29, 표1[성명], 표1[직급], "")</f>
        <v>소방경</v>
      </c>
      <c r="F29" s="73" t="s">
        <v>15</v>
      </c>
      <c r="G29" s="72" t="str">
        <f>_xlfn.XLOOKUP(H29, 표1[성명], 표1[직급], "")</f>
        <v>소방위</v>
      </c>
      <c r="H29" s="73" t="s">
        <v>141</v>
      </c>
      <c r="I29" s="72" t="str">
        <f>_xlfn.XLOOKUP(J29, 표1[성명], 표1[직급], "")</f>
        <v>소방교</v>
      </c>
      <c r="J29" s="73" t="s">
        <v>57</v>
      </c>
      <c r="K29" s="54"/>
      <c r="N29" s="7"/>
      <c r="O29" s="11"/>
      <c r="P29" s="11"/>
      <c r="Q29" s="11"/>
      <c r="R29" s="9"/>
      <c r="S29" s="9"/>
      <c r="T29" s="11"/>
      <c r="U29" s="11"/>
      <c r="V29" s="11"/>
      <c r="W29" s="15"/>
      <c r="X29" s="15"/>
    </row>
    <row r="30" spans="2:30" s="2" customFormat="1" ht="21" customHeight="1" x14ac:dyDescent="0.3">
      <c r="B30" s="61"/>
      <c r="C30" s="51" t="s">
        <v>78</v>
      </c>
      <c r="D30" s="27"/>
      <c r="E30" s="72" t="str">
        <f>_xlfn.XLOOKUP(F30, 표1[성명], 표1[직급], "")</f>
        <v>소방경</v>
      </c>
      <c r="F30" s="73" t="s">
        <v>54</v>
      </c>
      <c r="G30" s="72" t="str">
        <f>_xlfn.XLOOKUP(H30, 표1[성명], 표1[직급], "")</f>
        <v>소방위</v>
      </c>
      <c r="H30" s="73" t="s">
        <v>140</v>
      </c>
      <c r="I30" s="72" t="str">
        <f>_xlfn.XLOOKUP(J30, 표1[성명], 표1[직급], "")</f>
        <v>소방교</v>
      </c>
      <c r="J30" s="73" t="s">
        <v>18</v>
      </c>
      <c r="K30" s="54"/>
      <c r="N30" s="7"/>
      <c r="O30" s="8"/>
      <c r="P30" s="11"/>
      <c r="Q30" s="7"/>
      <c r="R30" s="9"/>
      <c r="S30" s="9"/>
      <c r="T30" s="7"/>
      <c r="U30" s="9"/>
      <c r="V30" s="11"/>
      <c r="W30" s="9"/>
      <c r="X30" s="9"/>
    </row>
    <row r="31" spans="2:30" ht="19.5" x14ac:dyDescent="0.3">
      <c r="B31" s="64" t="s">
        <v>93</v>
      </c>
      <c r="C31" s="51" t="s">
        <v>76</v>
      </c>
      <c r="D31" s="26" t="s">
        <v>80</v>
      </c>
      <c r="E31" s="72" t="str">
        <f>_xlfn.XLOOKUP(F31, 표1[성명], 표1[직급], "")</f>
        <v>소방경</v>
      </c>
      <c r="F31" s="72" t="s">
        <v>14</v>
      </c>
      <c r="G31" s="72" t="str">
        <f>_xlfn.XLOOKUP(H31, 표1[성명], 표1[직급], "")</f>
        <v>소방위</v>
      </c>
      <c r="H31" s="72" t="s">
        <v>108</v>
      </c>
      <c r="I31" s="72" t="str">
        <f>_xlfn.XLOOKUP(J31, 표1[성명], 표1[직급], "")</f>
        <v>소방교</v>
      </c>
      <c r="J31" s="72" t="s">
        <v>136</v>
      </c>
      <c r="K31" s="53"/>
      <c r="M31" s="2"/>
      <c r="N31" s="7"/>
      <c r="O31" s="8"/>
      <c r="P31" s="9"/>
      <c r="Q31" s="7"/>
      <c r="R31" s="9"/>
      <c r="S31" s="9"/>
      <c r="T31" s="7"/>
      <c r="U31" s="11"/>
      <c r="V31" s="11"/>
      <c r="W31" s="15"/>
      <c r="X31" s="15"/>
    </row>
    <row r="32" spans="2:30" ht="19.5" x14ac:dyDescent="0.3">
      <c r="B32" s="61"/>
      <c r="C32" s="51" t="s">
        <v>78</v>
      </c>
      <c r="D32" s="27"/>
      <c r="E32" s="52" t="str">
        <f>_xlfn.XLOOKUP(F32, 표1[성명], 표1[직급], "")</f>
        <v>소방경</v>
      </c>
      <c r="F32" s="43" t="s">
        <v>19</v>
      </c>
      <c r="G32" s="52" t="str">
        <f>_xlfn.XLOOKUP(H32, 표1[성명], 표1[직급], "")</f>
        <v>소방위</v>
      </c>
      <c r="H32" s="43" t="s">
        <v>115</v>
      </c>
      <c r="I32" s="52" t="str">
        <f>_xlfn.XLOOKUP(J32, 표1[성명], 표1[직급], "")</f>
        <v>소방교</v>
      </c>
      <c r="J32" s="43" t="s">
        <v>113</v>
      </c>
      <c r="K32" s="54"/>
      <c r="M32" s="2"/>
      <c r="N32" s="7"/>
      <c r="O32" s="8"/>
      <c r="P32" s="9"/>
      <c r="Q32" s="7"/>
      <c r="R32" s="9"/>
      <c r="S32" s="9"/>
      <c r="T32" s="7"/>
      <c r="U32" s="7"/>
      <c r="V32" s="7"/>
      <c r="W32" s="2"/>
      <c r="X32" s="2"/>
    </row>
    <row r="33" spans="2:22" ht="19.5" x14ac:dyDescent="0.3">
      <c r="B33" s="55" t="s">
        <v>94</v>
      </c>
      <c r="C33" s="46" t="s">
        <v>69</v>
      </c>
      <c r="D33" s="44" t="s">
        <v>66</v>
      </c>
      <c r="E33" s="12" t="str">
        <f>_xlfn.XLOOKUP(F33, 표1[성명], 표1[직급], "")</f>
        <v>소방경</v>
      </c>
      <c r="F33" s="12" t="s">
        <v>146</v>
      </c>
      <c r="G33" s="12" t="str">
        <f>_xlfn.XLOOKUP(H33, 표1[성명], 표1[직급], "")</f>
        <v>소방위</v>
      </c>
      <c r="H33" s="12" t="s">
        <v>34</v>
      </c>
      <c r="I33" s="12" t="str">
        <f>_xlfn.XLOOKUP(J33, 표1[성명], 표1[직급], "")</f>
        <v>소방사</v>
      </c>
      <c r="J33" s="12" t="s">
        <v>44</v>
      </c>
      <c r="K33" s="19"/>
      <c r="N33" s="7"/>
      <c r="O33" s="8"/>
      <c r="P33" s="9"/>
      <c r="Q33" s="7"/>
      <c r="R33" s="9"/>
      <c r="S33" s="9"/>
      <c r="T33" s="7"/>
      <c r="U33" s="7"/>
      <c r="V33" s="7"/>
    </row>
    <row r="34" spans="2:22" s="2" customFormat="1" ht="21" customHeight="1" x14ac:dyDescent="0.3">
      <c r="B34" s="55" t="s">
        <v>95</v>
      </c>
      <c r="C34" s="46" t="s">
        <v>69</v>
      </c>
      <c r="D34" s="44" t="s">
        <v>67</v>
      </c>
      <c r="E34" s="12" t="str">
        <f>_xlfn.XLOOKUP(F34, 표1[성명], 표1[직급], "")</f>
        <v>소방경</v>
      </c>
      <c r="F34" s="6" t="s">
        <v>26</v>
      </c>
      <c r="G34" s="12" t="str">
        <f>_xlfn.XLOOKUP(H34, 표1[성명], 표1[직급], "")</f>
        <v>소방위</v>
      </c>
      <c r="H34" s="6" t="s">
        <v>126</v>
      </c>
      <c r="I34" s="12" t="str">
        <f>_xlfn.XLOOKUP(J34, 표1[성명], 표1[직급], "")</f>
        <v>소방교</v>
      </c>
      <c r="J34" s="6" t="s">
        <v>145</v>
      </c>
      <c r="K34" s="5"/>
      <c r="N34" s="7"/>
      <c r="O34" s="8"/>
      <c r="P34" s="9"/>
      <c r="Q34" s="7"/>
      <c r="R34" s="9"/>
      <c r="S34" s="9"/>
      <c r="T34" s="7"/>
      <c r="U34" s="7"/>
      <c r="V34" s="7"/>
    </row>
    <row r="35" spans="2:22" s="2" customFormat="1" ht="21" customHeight="1" x14ac:dyDescent="0.3">
      <c r="B35" s="55" t="s">
        <v>96</v>
      </c>
      <c r="C35" s="46" t="s">
        <v>69</v>
      </c>
      <c r="D35" s="44" t="s">
        <v>70</v>
      </c>
      <c r="E35" s="12" t="str">
        <f>_xlfn.XLOOKUP(F35, 표1[성명], 표1[직급], "")</f>
        <v>소방경</v>
      </c>
      <c r="F35" s="6" t="s">
        <v>111</v>
      </c>
      <c r="G35" s="12" t="str">
        <f>_xlfn.XLOOKUP(H35, 표1[성명], 표1[직급], "")</f>
        <v>소방위</v>
      </c>
      <c r="H35" s="6" t="s">
        <v>55</v>
      </c>
      <c r="I35" s="12" t="str">
        <f>_xlfn.XLOOKUP(J35, 표1[성명], 표1[직급], "")</f>
        <v>소방교</v>
      </c>
      <c r="J35" s="6" t="s">
        <v>121</v>
      </c>
      <c r="K35" s="5"/>
      <c r="N35" s="7"/>
      <c r="O35" s="8"/>
      <c r="P35" s="9"/>
      <c r="Q35" s="7"/>
      <c r="R35" s="9"/>
      <c r="S35" s="11"/>
      <c r="T35" s="7"/>
      <c r="U35" s="7"/>
      <c r="V35" s="7"/>
    </row>
    <row r="36" spans="2:22" s="2" customFormat="1" ht="21" customHeight="1" x14ac:dyDescent="0.3">
      <c r="B36" s="55" t="s">
        <v>97</v>
      </c>
      <c r="C36" s="46" t="s">
        <v>69</v>
      </c>
      <c r="D36" s="57" t="s">
        <v>72</v>
      </c>
      <c r="E36" s="12" t="str">
        <f>_xlfn.XLOOKUP(F36, 표1[성명], 표1[직급], "")</f>
        <v>소방경</v>
      </c>
      <c r="F36" s="6" t="s">
        <v>148</v>
      </c>
      <c r="G36" s="12" t="str">
        <f>_xlfn.XLOOKUP(H36, 표1[성명], 표1[직급], "")</f>
        <v>소방장</v>
      </c>
      <c r="H36" s="6" t="s">
        <v>24</v>
      </c>
      <c r="I36" s="12" t="str">
        <f>_xlfn.XLOOKUP(J36, 표1[성명], 표1[직급], "")</f>
        <v>소방교</v>
      </c>
      <c r="J36" s="6" t="s">
        <v>149</v>
      </c>
      <c r="K36" s="5"/>
      <c r="N36" s="7"/>
      <c r="O36" s="8"/>
      <c r="P36" s="9"/>
      <c r="Q36" s="7"/>
      <c r="R36" s="9"/>
      <c r="S36" s="9"/>
      <c r="T36" s="7"/>
      <c r="U36" s="7"/>
      <c r="V36" s="7"/>
    </row>
    <row r="37" spans="2:22" s="2" customFormat="1" ht="21" customHeight="1" x14ac:dyDescent="0.3">
      <c r="B37" s="55" t="s">
        <v>98</v>
      </c>
      <c r="C37" s="46" t="s">
        <v>69</v>
      </c>
      <c r="D37" s="44" t="s">
        <v>74</v>
      </c>
      <c r="E37" s="76" t="str">
        <f>_xlfn.XLOOKUP(F37, 표1[성명], 표1[직급], "")</f>
        <v>소방경</v>
      </c>
      <c r="F37" s="77" t="s">
        <v>43</v>
      </c>
      <c r="G37" s="76" t="str">
        <f>_xlfn.XLOOKUP(H37, 표1[성명], 표1[직급], "")</f>
        <v>소방위</v>
      </c>
      <c r="H37" s="76" t="s">
        <v>116</v>
      </c>
      <c r="I37" s="12" t="str">
        <f>_xlfn.XLOOKUP(J37, 표1[성명], 표1[직급], "")</f>
        <v>소방교</v>
      </c>
      <c r="J37" s="12" t="s">
        <v>138</v>
      </c>
      <c r="K37" s="19"/>
      <c r="N37" s="7"/>
      <c r="O37" s="8"/>
      <c r="P37" s="9"/>
      <c r="Q37" s="7"/>
      <c r="R37" s="8"/>
      <c r="S37" s="8"/>
      <c r="T37" s="7"/>
      <c r="U37" s="7"/>
      <c r="V37" s="7"/>
    </row>
    <row r="38" spans="2:22" s="2" customFormat="1" ht="21" customHeight="1" x14ac:dyDescent="0.3">
      <c r="B38" s="64" t="s">
        <v>99</v>
      </c>
      <c r="C38" s="47" t="s">
        <v>76</v>
      </c>
      <c r="D38" s="63" t="s">
        <v>77</v>
      </c>
      <c r="E38" s="52" t="str">
        <f>_xlfn.XLOOKUP(F38, 표1[성명], 표1[직급], "")</f>
        <v>소방경</v>
      </c>
      <c r="F38" s="52" t="s">
        <v>51</v>
      </c>
      <c r="G38" s="52" t="str">
        <f>_xlfn.XLOOKUP(H38, 표1[성명], 표1[직급], "")</f>
        <v>소방위</v>
      </c>
      <c r="H38" s="43" t="s">
        <v>35</v>
      </c>
      <c r="I38" s="52" t="str">
        <f>_xlfn.XLOOKUP(J38, 표1[성명], 표1[직급], "")</f>
        <v>소방교</v>
      </c>
      <c r="J38" s="43" t="s">
        <v>17</v>
      </c>
      <c r="K38" s="54"/>
      <c r="N38" s="7"/>
      <c r="O38" s="8"/>
      <c r="P38" s="9"/>
      <c r="Q38" s="7"/>
      <c r="R38" s="9"/>
      <c r="S38" s="9"/>
      <c r="T38" s="7"/>
      <c r="U38" s="7"/>
      <c r="V38" s="7"/>
    </row>
    <row r="39" spans="2:22" s="2" customFormat="1" ht="21" customHeight="1" x14ac:dyDescent="0.3">
      <c r="B39" s="61"/>
      <c r="C39" s="51" t="s">
        <v>78</v>
      </c>
      <c r="D39" s="27"/>
      <c r="E39" s="74" t="str">
        <f>_xlfn.XLOOKUP(F39, 표1[성명], 표1[직급], "")</f>
        <v>소방경</v>
      </c>
      <c r="F39" s="74" t="s">
        <v>106</v>
      </c>
      <c r="G39" s="52" t="str">
        <f>_xlfn.XLOOKUP(H39, 표1[성명], 표1[직급], "")</f>
        <v>소방위</v>
      </c>
      <c r="H39" s="43" t="s">
        <v>9</v>
      </c>
      <c r="I39" s="52" t="str">
        <f>_xlfn.XLOOKUP(J39, 표1[성명], 표1[직급], "")</f>
        <v>소방사</v>
      </c>
      <c r="J39" s="43" t="s">
        <v>61</v>
      </c>
      <c r="K39" s="54"/>
      <c r="N39" s="7"/>
      <c r="O39" s="8"/>
      <c r="P39" s="9"/>
      <c r="Q39" s="7"/>
      <c r="R39" s="7"/>
      <c r="S39" s="7"/>
      <c r="T39" s="7"/>
      <c r="U39" s="7"/>
      <c r="V39" s="7"/>
    </row>
    <row r="40" spans="2:22" ht="19.5" x14ac:dyDescent="0.3">
      <c r="B40" s="64" t="s">
        <v>100</v>
      </c>
      <c r="C40" s="51" t="s">
        <v>76</v>
      </c>
      <c r="D40" s="26" t="s">
        <v>80</v>
      </c>
      <c r="E40" s="52" t="str">
        <f>_xlfn.XLOOKUP(F40, 표1[성명], 표1[직급], "")</f>
        <v>소방경</v>
      </c>
      <c r="F40" s="43" t="s">
        <v>112</v>
      </c>
      <c r="G40" s="52" t="str">
        <f>_xlfn.XLOOKUP(H40, 표1[성명], 표1[직급], "")</f>
        <v>소방위</v>
      </c>
      <c r="H40" s="52" t="s">
        <v>53</v>
      </c>
      <c r="I40" s="52" t="str">
        <f>_xlfn.XLOOKUP(J40, 표1[성명], 표1[직급], "")</f>
        <v>소방교</v>
      </c>
      <c r="J40" s="52" t="s">
        <v>37</v>
      </c>
      <c r="K40" s="53"/>
      <c r="N40" s="7"/>
      <c r="O40" s="7"/>
      <c r="P40" s="7"/>
      <c r="Q40" s="7"/>
      <c r="R40" s="7"/>
      <c r="S40" s="7"/>
      <c r="T40" s="7"/>
      <c r="U40" s="7"/>
      <c r="V40" s="7"/>
    </row>
    <row r="41" spans="2:22" ht="19.5" x14ac:dyDescent="0.3">
      <c r="B41" s="61"/>
      <c r="C41" s="51" t="s">
        <v>78</v>
      </c>
      <c r="D41" s="27"/>
      <c r="E41" s="52" t="str">
        <f>_xlfn.XLOOKUP(F41, 표1[성명], 표1[직급], "")</f>
        <v>소방경</v>
      </c>
      <c r="F41" s="43" t="s">
        <v>54</v>
      </c>
      <c r="G41" s="74" t="str">
        <f>_xlfn.XLOOKUP(H41, 표1[성명], 표1[직급], "")</f>
        <v>소방위</v>
      </c>
      <c r="H41" s="75" t="s">
        <v>140</v>
      </c>
      <c r="I41" s="52" t="str">
        <f>_xlfn.XLOOKUP(J41, 표1[성명], 표1[직급], "")</f>
        <v>소방교</v>
      </c>
      <c r="J41" s="43" t="s">
        <v>119</v>
      </c>
      <c r="K41" s="54"/>
      <c r="N41" s="7"/>
      <c r="O41" s="7"/>
      <c r="P41" s="7"/>
      <c r="Q41" s="7"/>
      <c r="R41" s="7"/>
      <c r="S41" s="7"/>
      <c r="T41" s="7"/>
      <c r="U41" s="7"/>
      <c r="V41" s="7"/>
    </row>
    <row r="42" spans="2:22" ht="19.5" x14ac:dyDescent="0.3">
      <c r="B42" s="55" t="s">
        <v>101</v>
      </c>
      <c r="C42" s="46" t="s">
        <v>69</v>
      </c>
      <c r="D42" s="44" t="s">
        <v>66</v>
      </c>
      <c r="E42" s="12" t="str">
        <f>_xlfn.XLOOKUP(F42, 표1[성명], 표1[직급], "")</f>
        <v>소방경</v>
      </c>
      <c r="F42" s="6" t="s">
        <v>14</v>
      </c>
      <c r="G42" s="12" t="str">
        <f>_xlfn.XLOOKUP(H42, 표1[성명], 표1[직급], "")</f>
        <v>소방위</v>
      </c>
      <c r="H42" s="12" t="s">
        <v>36</v>
      </c>
      <c r="I42" s="12" t="str">
        <f>_xlfn.XLOOKUP(J42, 표1[성명], 표1[직급], "")</f>
        <v>소방교</v>
      </c>
      <c r="J42" s="12" t="s">
        <v>150</v>
      </c>
      <c r="K42" s="19"/>
    </row>
    <row r="43" spans="2:22" ht="19.5" x14ac:dyDescent="0.3">
      <c r="B43" s="55" t="s">
        <v>102</v>
      </c>
      <c r="C43" s="46" t="s">
        <v>69</v>
      </c>
      <c r="D43" s="44" t="s">
        <v>67</v>
      </c>
      <c r="E43" s="12" t="str">
        <f>_xlfn.XLOOKUP(F43, 표1[성명], 표1[직급], "")</f>
        <v>소방경</v>
      </c>
      <c r="F43" s="6" t="s">
        <v>19</v>
      </c>
      <c r="G43" s="12" t="str">
        <f>_xlfn.XLOOKUP(H43, 표1[성명], 표1[직급], "")</f>
        <v>소방위</v>
      </c>
      <c r="H43" s="6" t="s">
        <v>127</v>
      </c>
      <c r="I43" s="76" t="str">
        <f>_xlfn.XLOOKUP(J43, 표1[성명], 표1[직급], "")</f>
        <v>소방장</v>
      </c>
      <c r="J43" s="77" t="s">
        <v>110</v>
      </c>
      <c r="K43" s="5"/>
    </row>
    <row r="44" spans="2:22" ht="19.5" x14ac:dyDescent="0.3">
      <c r="B44" s="55" t="s">
        <v>103</v>
      </c>
      <c r="C44" s="46" t="s">
        <v>69</v>
      </c>
      <c r="D44" s="44" t="s">
        <v>70</v>
      </c>
      <c r="E44" s="70" t="str">
        <f>_xlfn.XLOOKUP(F44, 표1[성명], 표1[직급], "")</f>
        <v>소방경</v>
      </c>
      <c r="F44" s="71" t="s">
        <v>30</v>
      </c>
      <c r="G44" s="70" t="str">
        <f>_xlfn.XLOOKUP(H44, 표1[성명], 표1[직급], "")</f>
        <v>소방위</v>
      </c>
      <c r="H44" s="71" t="s">
        <v>142</v>
      </c>
      <c r="I44" s="70" t="str">
        <f>_xlfn.XLOOKUP(J44, 표1[성명], 표1[직급], "")</f>
        <v>소방교</v>
      </c>
      <c r="J44" s="71" t="s">
        <v>118</v>
      </c>
      <c r="K44" s="5"/>
    </row>
    <row r="45" spans="2:22" ht="20.25" thickBot="1" x14ac:dyDescent="0.35">
      <c r="B45" s="58" t="s">
        <v>104</v>
      </c>
      <c r="C45" s="56" t="s">
        <v>69</v>
      </c>
      <c r="D45" s="59" t="s">
        <v>72</v>
      </c>
      <c r="E45" s="78" t="str">
        <f>_xlfn.XLOOKUP(F45, 표1[성명], 표1[직급], "")</f>
        <v>소방경</v>
      </c>
      <c r="F45" s="79" t="s">
        <v>26</v>
      </c>
      <c r="G45" s="78" t="str">
        <f>_xlfn.XLOOKUP(H45, 표1[성명], 표1[직급], "")</f>
        <v>소방위</v>
      </c>
      <c r="H45" s="79" t="s">
        <v>22</v>
      </c>
      <c r="I45" s="78" t="str">
        <f>_xlfn.XLOOKUP(J45, 표1[성명], 표1[직급], "")</f>
        <v>소방장</v>
      </c>
      <c r="J45" s="79" t="s">
        <v>31</v>
      </c>
      <c r="K45" s="23"/>
    </row>
    <row r="46" spans="2:22" ht="19.5" x14ac:dyDescent="0.3">
      <c r="B46" s="39"/>
      <c r="C46" s="40"/>
      <c r="D46" s="41"/>
      <c r="E46" s="42"/>
      <c r="F46" s="24"/>
      <c r="G46" s="25"/>
      <c r="H46" s="24"/>
      <c r="I46" s="25"/>
      <c r="J46" s="24"/>
      <c r="K46" s="24"/>
    </row>
    <row r="47" spans="2:22" ht="19.5" x14ac:dyDescent="0.3">
      <c r="B47" s="34"/>
      <c r="C47" s="16"/>
      <c r="D47" s="35"/>
      <c r="E47" s="31"/>
      <c r="F47" s="22"/>
      <c r="G47" s="21"/>
      <c r="H47" s="22"/>
      <c r="I47" s="21"/>
      <c r="J47" s="22"/>
      <c r="K47" s="22"/>
    </row>
    <row r="48" spans="2:22" ht="19.5" x14ac:dyDescent="0.3">
      <c r="B48" s="16"/>
      <c r="C48" s="16"/>
      <c r="D48" s="36"/>
      <c r="E48" s="31"/>
      <c r="F48" s="22"/>
      <c r="G48" s="21"/>
      <c r="H48" s="22"/>
      <c r="I48" s="21"/>
      <c r="J48" s="22"/>
      <c r="K48" s="22"/>
    </row>
    <row r="49" spans="2:11" ht="19.5" x14ac:dyDescent="0.3">
      <c r="B49" s="16"/>
      <c r="C49" s="16"/>
      <c r="D49" s="36"/>
      <c r="E49" s="31"/>
      <c r="F49" s="37"/>
      <c r="G49" s="21"/>
      <c r="H49" s="29"/>
      <c r="I49" s="21"/>
      <c r="J49" s="38"/>
      <c r="K49" s="14"/>
    </row>
    <row r="50" spans="2:11" ht="19.5" x14ac:dyDescent="0.3">
      <c r="B50" s="16"/>
      <c r="C50" s="16"/>
      <c r="D50" s="17"/>
      <c r="E50" s="9"/>
      <c r="F50" s="9"/>
      <c r="G50" s="9"/>
      <c r="H50" s="9"/>
      <c r="I50" s="18"/>
      <c r="J50" s="18"/>
      <c r="K50" s="13"/>
    </row>
  </sheetData>
  <mergeCells count="11">
    <mergeCell ref="M22:O22"/>
    <mergeCell ref="N23:O23"/>
    <mergeCell ref="C6:C7"/>
    <mergeCell ref="B2:K3"/>
    <mergeCell ref="B4:K5"/>
    <mergeCell ref="B6:B7"/>
    <mergeCell ref="D6:D7"/>
    <mergeCell ref="E6:F6"/>
    <mergeCell ref="G6:K6"/>
    <mergeCell ref="M7:O7"/>
    <mergeCell ref="N8:O8"/>
  </mergeCells>
  <phoneticPr fontId="10" type="noConversion"/>
  <conditionalFormatting sqref="B8:K45">
    <cfRule type="expression" dxfId="2" priority="1">
      <formula>AND($N$8&lt;&gt;"",OR($F8=$N$8,$H8=$N$8,$J8=$N$8))</formula>
    </cfRule>
  </conditionalFormatting>
  <conditionalFormatting sqref="W9:W22">
    <cfRule type="duplicateValues" dxfId="1" priority="3"/>
  </conditionalFormatting>
  <pageMargins left="0.70866141732283472" right="0.70866141732283472" top="0.59055118110236227" bottom="0.59055118110236227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44FA-8777-4834-8D2A-B1341FA4C8EA}">
  <dimension ref="B1:M45"/>
  <sheetViews>
    <sheetView topLeftCell="A28" workbookViewId="0">
      <selection activeCell="D10" sqref="D10"/>
    </sheetView>
  </sheetViews>
  <sheetFormatPr defaultRowHeight="16.5" x14ac:dyDescent="0.3"/>
  <sheetData>
    <row r="1" spans="2:13" x14ac:dyDescent="0.3">
      <c r="B1" s="32" t="s">
        <v>64</v>
      </c>
      <c r="C1" s="32" t="s">
        <v>65</v>
      </c>
      <c r="D1" s="32" t="s">
        <v>63</v>
      </c>
      <c r="E1" s="7"/>
      <c r="F1" s="7"/>
      <c r="G1" s="7"/>
      <c r="H1" s="7"/>
      <c r="I1" s="7"/>
      <c r="J1" s="7"/>
      <c r="K1" s="7"/>
      <c r="L1" s="7"/>
      <c r="M1" s="7"/>
    </row>
    <row r="2" spans="2:13" x14ac:dyDescent="0.3">
      <c r="B2" s="32" t="s">
        <v>130</v>
      </c>
      <c r="C2" s="32" t="s">
        <v>131</v>
      </c>
      <c r="D2" s="32" t="s">
        <v>128</v>
      </c>
      <c r="E2" s="7"/>
      <c r="F2" s="7"/>
      <c r="G2" s="7"/>
      <c r="H2" s="7"/>
      <c r="I2" s="7"/>
      <c r="J2" s="7"/>
      <c r="K2" s="7"/>
      <c r="L2" s="7"/>
      <c r="M2" s="7"/>
    </row>
    <row r="3" spans="2:13" x14ac:dyDescent="0.3">
      <c r="B3" s="32" t="s">
        <v>132</v>
      </c>
      <c r="C3" s="32" t="s">
        <v>131</v>
      </c>
      <c r="D3" s="32" t="s">
        <v>133</v>
      </c>
      <c r="E3" s="7"/>
      <c r="F3" s="7"/>
      <c r="G3" s="7"/>
      <c r="H3" s="7"/>
      <c r="I3" s="7"/>
      <c r="J3" s="7"/>
      <c r="K3" s="7"/>
      <c r="L3" s="7"/>
      <c r="M3" s="7"/>
    </row>
    <row r="4" spans="2:13" x14ac:dyDescent="0.3">
      <c r="B4" s="32" t="s">
        <v>134</v>
      </c>
      <c r="C4" s="32" t="s">
        <v>131</v>
      </c>
      <c r="D4" s="32" t="s">
        <v>129</v>
      </c>
      <c r="E4" s="7"/>
      <c r="F4" s="7"/>
      <c r="G4" s="7"/>
      <c r="H4" s="7"/>
      <c r="I4" s="7"/>
      <c r="J4" s="7"/>
      <c r="K4" s="7"/>
      <c r="L4" s="7"/>
      <c r="M4" s="7"/>
    </row>
    <row r="5" spans="2:13" x14ac:dyDescent="0.3">
      <c r="B5" s="31" t="s">
        <v>29</v>
      </c>
      <c r="C5" s="31" t="s">
        <v>3</v>
      </c>
      <c r="D5" s="31" t="s">
        <v>43</v>
      </c>
      <c r="E5" s="8"/>
      <c r="F5" s="29"/>
      <c r="G5" s="9"/>
      <c r="H5" s="9"/>
      <c r="I5" s="8"/>
      <c r="J5" s="9"/>
      <c r="K5" s="29"/>
      <c r="L5" s="9"/>
      <c r="M5" s="8"/>
    </row>
    <row r="6" spans="2:13" x14ac:dyDescent="0.3">
      <c r="B6" s="31" t="s">
        <v>46</v>
      </c>
      <c r="C6" s="31" t="s">
        <v>3</v>
      </c>
      <c r="D6" s="31" t="s">
        <v>15</v>
      </c>
      <c r="E6" s="8"/>
      <c r="F6" s="29"/>
      <c r="G6" s="9"/>
      <c r="H6" s="9"/>
      <c r="I6" s="8"/>
      <c r="J6" s="9"/>
      <c r="K6" s="29"/>
      <c r="L6" s="9"/>
      <c r="M6" s="8"/>
    </row>
    <row r="7" spans="2:13" x14ac:dyDescent="0.3">
      <c r="B7" s="31" t="s">
        <v>45</v>
      </c>
      <c r="C7" s="31" t="s">
        <v>3</v>
      </c>
      <c r="D7" s="30" t="s">
        <v>54</v>
      </c>
      <c r="E7" s="8"/>
      <c r="F7" s="29"/>
      <c r="G7" s="9"/>
      <c r="H7" s="9"/>
      <c r="I7" s="8"/>
      <c r="J7" s="9"/>
      <c r="K7" s="29"/>
      <c r="L7" s="9"/>
      <c r="M7" s="8"/>
    </row>
    <row r="8" spans="2:13" x14ac:dyDescent="0.3">
      <c r="B8" s="30" t="s">
        <v>49</v>
      </c>
      <c r="C8" s="31" t="s">
        <v>3</v>
      </c>
      <c r="D8" s="30" t="s">
        <v>14</v>
      </c>
      <c r="E8" s="8"/>
      <c r="F8" s="9"/>
      <c r="G8" s="9"/>
      <c r="H8" s="9"/>
      <c r="I8" s="8"/>
      <c r="J8" s="9"/>
      <c r="K8" s="29"/>
      <c r="L8" s="9"/>
      <c r="M8" s="8"/>
    </row>
    <row r="9" spans="2:13" x14ac:dyDescent="0.3">
      <c r="B9" s="30" t="s">
        <v>45</v>
      </c>
      <c r="C9" s="31" t="s">
        <v>3</v>
      </c>
      <c r="D9" s="30" t="s">
        <v>19</v>
      </c>
      <c r="E9" s="8"/>
      <c r="F9" s="9"/>
      <c r="G9" s="9"/>
      <c r="H9" s="9"/>
      <c r="I9" s="8"/>
      <c r="J9" s="9"/>
      <c r="K9" s="29"/>
      <c r="L9" s="9"/>
      <c r="M9" s="8"/>
    </row>
    <row r="10" spans="2:13" x14ac:dyDescent="0.3">
      <c r="B10" s="30" t="s">
        <v>46</v>
      </c>
      <c r="C10" s="31" t="s">
        <v>3</v>
      </c>
      <c r="D10" s="30" t="s">
        <v>30</v>
      </c>
      <c r="E10" s="8"/>
      <c r="F10" s="9"/>
      <c r="G10" s="9"/>
      <c r="H10" s="9"/>
      <c r="I10" s="8"/>
      <c r="J10" s="9"/>
      <c r="K10" s="29"/>
      <c r="L10" s="9"/>
      <c r="M10" s="8"/>
    </row>
    <row r="11" spans="2:13" x14ac:dyDescent="0.3">
      <c r="B11" s="30" t="s">
        <v>46</v>
      </c>
      <c r="C11" s="31" t="s">
        <v>3</v>
      </c>
      <c r="D11" s="30" t="s">
        <v>26</v>
      </c>
      <c r="E11" s="8"/>
      <c r="F11" s="9"/>
      <c r="G11" s="9"/>
      <c r="H11" s="29"/>
      <c r="I11" s="8"/>
      <c r="J11" s="9"/>
      <c r="K11" s="29"/>
      <c r="L11" s="9"/>
      <c r="M11" s="8"/>
    </row>
    <row r="12" spans="2:13" x14ac:dyDescent="0.3">
      <c r="B12" s="30" t="s">
        <v>49</v>
      </c>
      <c r="C12" s="31" t="s">
        <v>3</v>
      </c>
      <c r="D12" s="30" t="s">
        <v>27</v>
      </c>
      <c r="E12" s="8"/>
      <c r="F12" s="9"/>
      <c r="G12" s="9"/>
      <c r="H12" s="9"/>
      <c r="I12" s="8"/>
      <c r="J12" s="9"/>
      <c r="K12" s="29"/>
      <c r="L12" s="9"/>
      <c r="M12" s="8"/>
    </row>
    <row r="13" spans="2:13" x14ac:dyDescent="0.3">
      <c r="B13" s="30" t="s">
        <v>46</v>
      </c>
      <c r="C13" s="31" t="s">
        <v>3</v>
      </c>
      <c r="D13" s="30" t="s">
        <v>50</v>
      </c>
      <c r="E13" s="8"/>
      <c r="F13" s="9"/>
      <c r="G13" s="29"/>
      <c r="H13" s="29"/>
      <c r="I13" s="8"/>
      <c r="J13" s="9"/>
      <c r="K13" s="29"/>
      <c r="L13" s="9"/>
      <c r="M13" s="8"/>
    </row>
    <row r="14" spans="2:13" x14ac:dyDescent="0.3">
      <c r="B14" s="30" t="s">
        <v>45</v>
      </c>
      <c r="C14" s="31" t="s">
        <v>3</v>
      </c>
      <c r="D14" s="30" t="s">
        <v>32</v>
      </c>
      <c r="E14" s="8"/>
      <c r="F14" s="9"/>
      <c r="G14" s="9"/>
      <c r="H14" s="9"/>
      <c r="I14" s="8"/>
      <c r="J14" s="9"/>
      <c r="K14" s="29"/>
      <c r="L14" s="9"/>
      <c r="M14" s="8"/>
    </row>
    <row r="15" spans="2:13" x14ac:dyDescent="0.3">
      <c r="B15" s="30" t="s">
        <v>62</v>
      </c>
      <c r="C15" s="31" t="s">
        <v>3</v>
      </c>
      <c r="D15" s="30" t="s">
        <v>51</v>
      </c>
      <c r="E15" s="8"/>
      <c r="F15" s="9"/>
      <c r="G15" s="9"/>
      <c r="H15" s="9"/>
      <c r="I15" s="8"/>
      <c r="J15" s="9"/>
      <c r="K15" s="29"/>
      <c r="L15" s="9"/>
      <c r="M15" s="8"/>
    </row>
    <row r="16" spans="2:13" x14ac:dyDescent="0.3">
      <c r="B16" s="30" t="s">
        <v>46</v>
      </c>
      <c r="C16" s="31" t="s">
        <v>4</v>
      </c>
      <c r="D16" s="30" t="s">
        <v>33</v>
      </c>
      <c r="E16" s="8"/>
      <c r="F16" s="9"/>
      <c r="G16" s="9"/>
      <c r="H16" s="9"/>
      <c r="I16" s="8"/>
      <c r="J16" s="9"/>
      <c r="K16" s="29"/>
      <c r="L16" s="9"/>
      <c r="M16" s="8"/>
    </row>
    <row r="17" spans="2:13" x14ac:dyDescent="0.3">
      <c r="B17" s="30" t="s">
        <v>45</v>
      </c>
      <c r="C17" s="31" t="s">
        <v>4</v>
      </c>
      <c r="D17" s="30" t="s">
        <v>22</v>
      </c>
      <c r="E17" s="8"/>
      <c r="F17" s="9"/>
      <c r="G17" s="9"/>
      <c r="H17" s="9"/>
      <c r="I17" s="8"/>
      <c r="J17" s="9"/>
      <c r="K17" s="29"/>
      <c r="L17" s="9"/>
      <c r="M17" s="8"/>
    </row>
    <row r="18" spans="2:13" x14ac:dyDescent="0.3">
      <c r="B18" s="30" t="s">
        <v>49</v>
      </c>
      <c r="C18" s="31" t="s">
        <v>4</v>
      </c>
      <c r="D18" s="31" t="s">
        <v>16</v>
      </c>
      <c r="E18" s="8"/>
      <c r="F18" s="9"/>
      <c r="G18" s="9"/>
      <c r="H18" s="9"/>
      <c r="I18" s="8"/>
      <c r="J18" s="9"/>
      <c r="K18" s="29"/>
      <c r="L18" s="9"/>
      <c r="M18" s="8"/>
    </row>
    <row r="19" spans="2:13" x14ac:dyDescent="0.3">
      <c r="B19" s="30" t="s">
        <v>45</v>
      </c>
      <c r="C19" s="31" t="s">
        <v>4</v>
      </c>
      <c r="D19" s="30" t="s">
        <v>10</v>
      </c>
      <c r="E19" s="8"/>
      <c r="F19" s="29"/>
      <c r="G19" s="9"/>
      <c r="H19" s="9"/>
      <c r="I19" s="8"/>
      <c r="J19" s="29"/>
      <c r="K19" s="29"/>
      <c r="L19" s="29"/>
      <c r="M19" s="8"/>
    </row>
    <row r="20" spans="2:13" x14ac:dyDescent="0.3">
      <c r="B20" s="31" t="s">
        <v>46</v>
      </c>
      <c r="C20" s="31" t="s">
        <v>4</v>
      </c>
      <c r="D20" s="31" t="s">
        <v>23</v>
      </c>
      <c r="E20" s="7"/>
      <c r="F20" s="29"/>
      <c r="G20" s="9"/>
      <c r="H20" s="9"/>
      <c r="I20" s="8"/>
      <c r="J20" s="7"/>
      <c r="K20" s="7"/>
      <c r="L20" s="7"/>
      <c r="M20" s="7"/>
    </row>
    <row r="21" spans="2:13" x14ac:dyDescent="0.3">
      <c r="B21" s="33" t="s">
        <v>49</v>
      </c>
      <c r="C21" s="33" t="s">
        <v>4</v>
      </c>
      <c r="D21" s="33" t="s">
        <v>34</v>
      </c>
      <c r="E21" s="7"/>
      <c r="F21" s="7"/>
      <c r="G21" s="7"/>
      <c r="H21" s="7"/>
      <c r="I21" s="7"/>
      <c r="J21" s="7"/>
      <c r="K21" s="7"/>
      <c r="L21" s="7"/>
      <c r="M21" s="7"/>
    </row>
    <row r="22" spans="2:13" x14ac:dyDescent="0.3">
      <c r="B22" s="33" t="s">
        <v>46</v>
      </c>
      <c r="C22" s="33" t="s">
        <v>4</v>
      </c>
      <c r="D22" s="33" t="s">
        <v>12</v>
      </c>
    </row>
    <row r="23" spans="2:13" x14ac:dyDescent="0.3">
      <c r="B23" s="33" t="s">
        <v>46</v>
      </c>
      <c r="C23" s="33" t="s">
        <v>4</v>
      </c>
      <c r="D23" s="33" t="s">
        <v>55</v>
      </c>
    </row>
    <row r="24" spans="2:13" x14ac:dyDescent="0.3">
      <c r="B24" s="33" t="s">
        <v>49</v>
      </c>
      <c r="C24" s="33" t="s">
        <v>11</v>
      </c>
      <c r="D24" s="33" t="s">
        <v>24</v>
      </c>
    </row>
    <row r="25" spans="2:13" x14ac:dyDescent="0.3">
      <c r="B25" s="33" t="s">
        <v>45</v>
      </c>
      <c r="C25" s="33" t="s">
        <v>4</v>
      </c>
      <c r="D25" s="33" t="s">
        <v>52</v>
      </c>
    </row>
    <row r="26" spans="2:13" x14ac:dyDescent="0.3">
      <c r="B26" s="33" t="s">
        <v>49</v>
      </c>
      <c r="C26" s="33" t="s">
        <v>4</v>
      </c>
      <c r="D26" s="33" t="s">
        <v>35</v>
      </c>
    </row>
    <row r="27" spans="2:13" x14ac:dyDescent="0.3">
      <c r="B27" s="33" t="s">
        <v>49</v>
      </c>
      <c r="C27" s="33" t="s">
        <v>4</v>
      </c>
      <c r="D27" s="33" t="s">
        <v>9</v>
      </c>
    </row>
    <row r="28" spans="2:13" x14ac:dyDescent="0.3">
      <c r="B28" s="33" t="s">
        <v>46</v>
      </c>
      <c r="C28" s="33" t="s">
        <v>4</v>
      </c>
      <c r="D28" s="33" t="s">
        <v>53</v>
      </c>
    </row>
    <row r="29" spans="2:13" x14ac:dyDescent="0.3">
      <c r="B29" s="33" t="s">
        <v>46</v>
      </c>
      <c r="C29" s="33" t="s">
        <v>4</v>
      </c>
      <c r="D29" s="33" t="s">
        <v>48</v>
      </c>
    </row>
    <row r="30" spans="2:13" x14ac:dyDescent="0.3">
      <c r="B30" s="33" t="s">
        <v>45</v>
      </c>
      <c r="C30" s="33" t="s">
        <v>4</v>
      </c>
      <c r="D30" s="33" t="s">
        <v>36</v>
      </c>
    </row>
    <row r="31" spans="2:13" x14ac:dyDescent="0.3">
      <c r="B31" s="33" t="s">
        <v>46</v>
      </c>
      <c r="C31" s="33" t="s">
        <v>4</v>
      </c>
      <c r="D31" s="33" t="s">
        <v>47</v>
      </c>
    </row>
    <row r="32" spans="2:13" x14ac:dyDescent="0.3">
      <c r="B32" s="33" t="s">
        <v>45</v>
      </c>
      <c r="C32" s="33" t="s">
        <v>5</v>
      </c>
      <c r="D32" s="33" t="s">
        <v>58</v>
      </c>
    </row>
    <row r="33" spans="2:4" x14ac:dyDescent="0.3">
      <c r="B33" s="33" t="s">
        <v>45</v>
      </c>
      <c r="C33" s="33" t="s">
        <v>13</v>
      </c>
      <c r="D33" s="33" t="s">
        <v>59</v>
      </c>
    </row>
    <row r="34" spans="2:4" x14ac:dyDescent="0.3">
      <c r="B34" s="33" t="s">
        <v>46</v>
      </c>
      <c r="C34" s="33" t="s">
        <v>13</v>
      </c>
      <c r="D34" s="33" t="s">
        <v>60</v>
      </c>
    </row>
    <row r="35" spans="2:4" x14ac:dyDescent="0.3">
      <c r="B35" s="33" t="s">
        <v>45</v>
      </c>
      <c r="C35" s="33" t="s">
        <v>13</v>
      </c>
      <c r="D35" s="33" t="s">
        <v>17</v>
      </c>
    </row>
    <row r="36" spans="2:4" x14ac:dyDescent="0.3">
      <c r="B36" s="33" t="s">
        <v>49</v>
      </c>
      <c r="C36" s="33" t="s">
        <v>39</v>
      </c>
      <c r="D36" s="33" t="s">
        <v>61</v>
      </c>
    </row>
    <row r="37" spans="2:4" x14ac:dyDescent="0.3">
      <c r="B37" s="33" t="s">
        <v>46</v>
      </c>
      <c r="C37" s="33" t="s">
        <v>13</v>
      </c>
      <c r="D37" s="33" t="s">
        <v>37</v>
      </c>
    </row>
    <row r="38" spans="2:4" x14ac:dyDescent="0.3">
      <c r="B38" s="33" t="s">
        <v>46</v>
      </c>
      <c r="C38" s="33" t="s">
        <v>13</v>
      </c>
      <c r="D38" s="33" t="s">
        <v>56</v>
      </c>
    </row>
    <row r="39" spans="2:4" x14ac:dyDescent="0.3">
      <c r="B39" s="33" t="s">
        <v>49</v>
      </c>
      <c r="C39" s="33" t="s">
        <v>13</v>
      </c>
      <c r="D39" s="33" t="s">
        <v>38</v>
      </c>
    </row>
    <row r="40" spans="2:4" x14ac:dyDescent="0.3">
      <c r="B40" s="33" t="s">
        <v>46</v>
      </c>
      <c r="C40" s="33" t="s">
        <v>13</v>
      </c>
      <c r="D40" s="33" t="s">
        <v>57</v>
      </c>
    </row>
    <row r="41" spans="2:4" x14ac:dyDescent="0.3">
      <c r="B41" s="33" t="s">
        <v>46</v>
      </c>
      <c r="C41" s="33" t="s">
        <v>13</v>
      </c>
      <c r="D41" s="33" t="s">
        <v>18</v>
      </c>
    </row>
    <row r="42" spans="2:4" x14ac:dyDescent="0.3">
      <c r="B42" s="33" t="s">
        <v>49</v>
      </c>
      <c r="C42" s="33" t="s">
        <v>11</v>
      </c>
      <c r="D42" s="33" t="s">
        <v>31</v>
      </c>
    </row>
    <row r="43" spans="2:4" x14ac:dyDescent="0.3">
      <c r="B43" s="33" t="s">
        <v>49</v>
      </c>
      <c r="C43" s="33" t="s">
        <v>13</v>
      </c>
      <c r="D43" s="33" t="s">
        <v>25</v>
      </c>
    </row>
    <row r="44" spans="2:4" x14ac:dyDescent="0.3">
      <c r="B44" s="33" t="s">
        <v>46</v>
      </c>
      <c r="C44" s="33" t="s">
        <v>11</v>
      </c>
      <c r="D44" s="33" t="s">
        <v>20</v>
      </c>
    </row>
    <row r="45" spans="2:4" x14ac:dyDescent="0.3">
      <c r="B45" s="33" t="s">
        <v>46</v>
      </c>
      <c r="C45" s="33" t="s">
        <v>13</v>
      </c>
      <c r="D45" s="33" t="s">
        <v>40</v>
      </c>
    </row>
  </sheetData>
  <phoneticPr fontId="10" type="noConversion"/>
  <conditionalFormatting sqref="L5:L18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당직상황근무 지정 현황</vt:lpstr>
      <vt:lpstr>근무자 데이터</vt:lpstr>
      <vt:lpstr>'당직상황근무 지정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USER</cp:lastModifiedBy>
  <cp:revision>15</cp:revision>
  <cp:lastPrinted>2026-04-02T01:21:27Z</cp:lastPrinted>
  <dcterms:created xsi:type="dcterms:W3CDTF">2011-12-30T06:00:42Z</dcterms:created>
  <dcterms:modified xsi:type="dcterms:W3CDTF">2026-04-20T11:06:47Z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eyJub2RlMSI6eyJkc2QiOiIwMTAwMDAwMDAwMDAyMTIyIiwibG9nVGltZSI6IjIwMjItMDUtMjNUMDY6NDY6MDJaIiwicElEIjoiMiIsInRyYWNlSWQiOiJDRjVEOUJDQjlFODc1QTkwOTM0QzU4QzlBRDk0NENBQSIsInVzZXJDb2RlIjoiYXVkemwxMDI0In0sIm5vZGUyIjp7ImRzZCI6IjAxMDAwMDAwMDAwMDIxMjIiLCJsb2dUaW1lIjo</vt:lpwstr>
  </property>
  <property fmtid="{D5CDD505-2E9C-101B-9397-08002B2CF9AE}" pid="3" name="OpenDocument">
    <vt:lpwstr>False</vt:lpwstr>
  </property>
</Properties>
</file>